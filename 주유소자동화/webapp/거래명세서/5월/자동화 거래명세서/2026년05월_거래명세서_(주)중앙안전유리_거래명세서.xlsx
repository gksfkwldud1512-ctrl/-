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C88E996-A80A-45B0-BFC4-4C45AF748A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유종별 거래명세서" sheetId="3" r:id="rId1"/>
    <sheet name="주유권" sheetId="2" r:id="rId2"/>
    <sheet name="거래명세서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3" i="2" l="1"/>
  <c r="H79" i="1"/>
  <c r="M79" i="1"/>
  <c r="L79" i="1"/>
  <c r="O79" i="1"/>
  <c r="N79" i="1"/>
  <c r="P79" i="1"/>
</calcChain>
</file>

<file path=xl/sharedStrings.xml><?xml version="1.0" encoding="utf-8"?>
<sst xmlns="http://schemas.openxmlformats.org/spreadsheetml/2006/main" count="1274" uniqueCount="83">
  <si>
    <t>거 래 명 세 서(공급받는자용)</t>
  </si>
  <si>
    <t>작성일자</t>
  </si>
  <si>
    <t>2026/05/28</t>
  </si>
  <si>
    <t>일련번호</t>
  </si>
  <si>
    <t/>
  </si>
  <si>
    <t>공
급
자</t>
  </si>
  <si>
    <t>등   록
번   호</t>
  </si>
  <si>
    <t>303-81-64391</t>
  </si>
  <si>
    <t>공
급
받
는
자</t>
  </si>
  <si>
    <t>303-81-32166</t>
  </si>
  <si>
    <t>상   호
법인명</t>
  </si>
  <si>
    <t>(주)미소주유소</t>
  </si>
  <si>
    <t>성명</t>
  </si>
  <si>
    <t>신정자</t>
  </si>
  <si>
    <t>(주)중앙안전유리</t>
  </si>
  <si>
    <t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</si>
  <si>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</si>
  <si>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</si>
  <si>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</si>
  <si>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</si>
  <si>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</si>
  <si>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</si>
  <si>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</si>
  <si>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</si>
  <si>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</si>
  <si>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</si>
  <si>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</si>
  <si>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</si>
  <si>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</si>
  <si>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</si>
  <si>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</si>
  <si>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043501</t>
  </si>
  <si>
    <t>경유</t>
  </si>
  <si>
    <t>L</t>
  </si>
  <si>
    <t>044778</t>
  </si>
  <si>
    <t>043385</t>
  </si>
  <si>
    <t>2821</t>
  </si>
  <si>
    <t>042830</t>
  </si>
  <si>
    <t>044812</t>
  </si>
  <si>
    <t>2026/05/06</t>
  </si>
  <si>
    <t>2026/05/08</t>
  </si>
  <si>
    <t>2026/05/11</t>
  </si>
  <si>
    <t>2026/05/13</t>
  </si>
  <si>
    <t>8119829</t>
  </si>
  <si>
    <t>2026/05/15</t>
  </si>
  <si>
    <t>2026/05/18</t>
  </si>
  <si>
    <t>2026/05/19</t>
  </si>
  <si>
    <t>2026/05/20</t>
  </si>
  <si>
    <t>2026/05/22</t>
  </si>
  <si>
    <t>2026/05/27</t>
  </si>
  <si>
    <t>2026/05/29</t>
  </si>
  <si>
    <t>총합계</t>
  </si>
  <si>
    <t>720488</t>
  </si>
  <si>
    <t>057329</t>
  </si>
  <si>
    <t>휘발유</t>
  </si>
  <si>
    <t>056707</t>
  </si>
  <si>
    <t>2026/05/05</t>
  </si>
  <si>
    <t>890360</t>
  </si>
  <si>
    <t>워셔액</t>
  </si>
  <si>
    <t>8167599</t>
  </si>
  <si>
    <t>824833</t>
  </si>
  <si>
    <t>8219136</t>
  </si>
  <si>
    <t>8088633</t>
  </si>
  <si>
    <t>8062539</t>
  </si>
  <si>
    <t>824858</t>
  </si>
  <si>
    <t>2026/05/07</t>
  </si>
  <si>
    <t>894333</t>
  </si>
  <si>
    <t>553876</t>
  </si>
  <si>
    <t>2026/05/09</t>
  </si>
  <si>
    <t>2026/05/10</t>
  </si>
  <si>
    <t>2026/05/12</t>
  </si>
  <si>
    <t>3307121</t>
  </si>
  <si>
    <t>162108</t>
  </si>
  <si>
    <t>2026/05/14</t>
  </si>
  <si>
    <t>2026/05/21</t>
  </si>
  <si>
    <t>631447</t>
  </si>
  <si>
    <t>2235085</t>
  </si>
  <si>
    <t>2026/05/25</t>
  </si>
  <si>
    <t>2026/05/26</t>
  </si>
  <si>
    <t>2026/05/31</t>
  </si>
  <si>
    <t>경유 계</t>
  </si>
  <si>
    <t>휘발유 계</t>
  </si>
  <si>
    <t>워셔액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</si>
</sst>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20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14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0" fillId="0" borderId="0" xfId="0" applyNumberFormat="1"/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1CC6-C1E4-4697-82C9-C444EBDE3B5C}">
  <sheetPr>
    <pageSetUpPr fitToPage="1"/>
  </sheetPr>
  <dimension ref="A1:P154"/>
  <sheetViews>
    <sheetView tabSelected="1" workbookViewId="0">
      <selection activeCell="S9" sqref="S9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31</v>
      </c>
      <c r="D9" s="14"/>
      <c r="E9" s="14"/>
      <c r="F9" s="4" t="s">
        <v>32</v>
      </c>
      <c r="G9" s="4" t="s">
        <v>33</v>
      </c>
      <c r="H9" s="5">
        <v>71</v>
      </c>
      <c r="I9" s="15">
        <v>1974</v>
      </c>
      <c r="J9" s="15"/>
      <c r="K9" s="15"/>
      <c r="L9" s="15">
        <v>127413</v>
      </c>
      <c r="M9" s="15"/>
      <c r="N9" s="15">
        <v>12741</v>
      </c>
      <c r="O9" s="15"/>
      <c r="P9" s="6">
        <v>140154</v>
      </c>
    </row>
    <row r="10" spans="1:16" x14ac:dyDescent="0.3">
      <c r="A10" s="14" t="s">
        <v>30</v>
      </c>
      <c r="B10" s="14"/>
      <c r="C10" s="14" t="s">
        <v>34</v>
      </c>
      <c r="D10" s="14"/>
      <c r="E10" s="14"/>
      <c r="F10" s="4" t="s">
        <v>32</v>
      </c>
      <c r="G10" s="4" t="s">
        <v>33</v>
      </c>
      <c r="H10" s="5">
        <v>56</v>
      </c>
      <c r="I10" s="15">
        <v>1974</v>
      </c>
      <c r="J10" s="15"/>
      <c r="K10" s="15"/>
      <c r="L10" s="15">
        <v>100495</v>
      </c>
      <c r="M10" s="15"/>
      <c r="N10" s="15">
        <v>10049</v>
      </c>
      <c r="O10" s="15"/>
      <c r="P10" s="6">
        <v>110544</v>
      </c>
    </row>
    <row r="11" spans="1:16" x14ac:dyDescent="0.3">
      <c r="A11" s="14" t="s">
        <v>30</v>
      </c>
      <c r="B11" s="14"/>
      <c r="C11" s="14" t="s">
        <v>35</v>
      </c>
      <c r="D11" s="14"/>
      <c r="E11" s="14"/>
      <c r="F11" s="4" t="s">
        <v>32</v>
      </c>
      <c r="G11" s="4" t="s">
        <v>33</v>
      </c>
      <c r="H11" s="5">
        <v>79</v>
      </c>
      <c r="I11" s="15">
        <v>1974</v>
      </c>
      <c r="J11" s="15"/>
      <c r="K11" s="15"/>
      <c r="L11" s="15">
        <v>141769</v>
      </c>
      <c r="M11" s="15"/>
      <c r="N11" s="15">
        <v>14177</v>
      </c>
      <c r="O11" s="15"/>
      <c r="P11" s="6">
        <v>155946</v>
      </c>
    </row>
    <row r="12" spans="1:16" x14ac:dyDescent="0.3">
      <c r="A12" s="14" t="s">
        <v>30</v>
      </c>
      <c r="B12" s="14"/>
      <c r="C12" s="14" t="s">
        <v>36</v>
      </c>
      <c r="D12" s="14"/>
      <c r="E12" s="14"/>
      <c r="F12" s="4" t="s">
        <v>32</v>
      </c>
      <c r="G12" s="4" t="s">
        <v>33</v>
      </c>
      <c r="H12" s="5">
        <v>9</v>
      </c>
      <c r="I12" s="15">
        <v>1974</v>
      </c>
      <c r="J12" s="15"/>
      <c r="K12" s="15"/>
      <c r="L12" s="15">
        <v>16151</v>
      </c>
      <c r="M12" s="15"/>
      <c r="N12" s="15">
        <v>1615</v>
      </c>
      <c r="O12" s="15"/>
      <c r="P12" s="6">
        <v>17766</v>
      </c>
    </row>
    <row r="13" spans="1:16" x14ac:dyDescent="0.3">
      <c r="A13" s="14" t="s">
        <v>30</v>
      </c>
      <c r="B13" s="14"/>
      <c r="C13" s="14" t="s">
        <v>37</v>
      </c>
      <c r="D13" s="14"/>
      <c r="E13" s="14"/>
      <c r="F13" s="4" t="s">
        <v>32</v>
      </c>
      <c r="G13" s="4" t="s">
        <v>33</v>
      </c>
      <c r="H13" s="5">
        <v>33</v>
      </c>
      <c r="I13" s="15">
        <v>1974</v>
      </c>
      <c r="J13" s="15"/>
      <c r="K13" s="15"/>
      <c r="L13" s="15">
        <v>59220</v>
      </c>
      <c r="M13" s="15"/>
      <c r="N13" s="15">
        <v>5922</v>
      </c>
      <c r="O13" s="15"/>
      <c r="P13" s="6">
        <v>65142</v>
      </c>
    </row>
    <row r="14" spans="1:16" x14ac:dyDescent="0.3">
      <c r="A14" s="14" t="s">
        <v>30</v>
      </c>
      <c r="B14" s="14"/>
      <c r="C14" s="14" t="s">
        <v>38</v>
      </c>
      <c r="D14" s="14"/>
      <c r="E14" s="14"/>
      <c r="F14" s="4" t="s">
        <v>32</v>
      </c>
      <c r="G14" s="4" t="s">
        <v>33</v>
      </c>
      <c r="H14" s="5">
        <v>53</v>
      </c>
      <c r="I14" s="15">
        <v>1974</v>
      </c>
      <c r="J14" s="15"/>
      <c r="K14" s="15"/>
      <c r="L14" s="15">
        <v>95111</v>
      </c>
      <c r="M14" s="15"/>
      <c r="N14" s="15">
        <v>9511</v>
      </c>
      <c r="O14" s="15"/>
      <c r="P14" s="6">
        <v>104622</v>
      </c>
    </row>
    <row r="15" spans="1:16" x14ac:dyDescent="0.3">
      <c r="A15" s="14" t="s">
        <v>30</v>
      </c>
      <c r="B15" s="14"/>
      <c r="C15" s="14" t="s">
        <v>52</v>
      </c>
      <c r="D15" s="14"/>
      <c r="E15" s="14"/>
      <c r="F15" s="4" t="s">
        <v>32</v>
      </c>
      <c r="G15" s="4" t="s">
        <v>33</v>
      </c>
      <c r="H15" s="5">
        <v>40</v>
      </c>
      <c r="I15" s="15">
        <v>1974</v>
      </c>
      <c r="J15" s="15"/>
      <c r="K15" s="15"/>
      <c r="L15" s="15">
        <v>71800</v>
      </c>
      <c r="M15" s="15"/>
      <c r="N15" s="15">
        <v>7180</v>
      </c>
      <c r="O15" s="15"/>
      <c r="P15" s="6">
        <v>78980</v>
      </c>
    </row>
    <row r="16" spans="1:16" x14ac:dyDescent="0.3">
      <c r="A16" s="14" t="s">
        <v>30</v>
      </c>
      <c r="B16" s="14"/>
      <c r="C16" s="14" t="s">
        <v>55</v>
      </c>
      <c r="D16" s="14"/>
      <c r="E16" s="14"/>
      <c r="F16" s="4" t="s">
        <v>32</v>
      </c>
      <c r="G16" s="4" t="s">
        <v>33</v>
      </c>
      <c r="H16" s="5">
        <v>57</v>
      </c>
      <c r="I16" s="15">
        <v>1974</v>
      </c>
      <c r="J16" s="15"/>
      <c r="K16" s="15"/>
      <c r="L16" s="15">
        <v>102289</v>
      </c>
      <c r="M16" s="15"/>
      <c r="N16" s="15">
        <v>10229</v>
      </c>
      <c r="O16" s="15"/>
      <c r="P16" s="6">
        <v>112518</v>
      </c>
    </row>
    <row r="17" spans="1:16" x14ac:dyDescent="0.3">
      <c r="A17" s="14" t="s">
        <v>56</v>
      </c>
      <c r="B17" s="14"/>
      <c r="C17" s="14" t="s">
        <v>59</v>
      </c>
      <c r="D17" s="14"/>
      <c r="E17" s="14"/>
      <c r="F17" s="4" t="s">
        <v>32</v>
      </c>
      <c r="G17" s="4" t="s">
        <v>33</v>
      </c>
      <c r="H17" s="5">
        <v>59</v>
      </c>
      <c r="I17" s="15">
        <v>1974</v>
      </c>
      <c r="J17" s="15"/>
      <c r="K17" s="15"/>
      <c r="L17" s="15">
        <v>105878</v>
      </c>
      <c r="M17" s="15"/>
      <c r="N17" s="15">
        <v>10588</v>
      </c>
      <c r="O17" s="15"/>
      <c r="P17" s="6">
        <v>116466</v>
      </c>
    </row>
    <row r="18" spans="1:16" x14ac:dyDescent="0.3">
      <c r="A18" s="14" t="s">
        <v>56</v>
      </c>
      <c r="B18" s="14"/>
      <c r="C18" s="14" t="s">
        <v>60</v>
      </c>
      <c r="D18" s="14"/>
      <c r="E18" s="14"/>
      <c r="F18" s="4" t="s">
        <v>32</v>
      </c>
      <c r="G18" s="4" t="s">
        <v>33</v>
      </c>
      <c r="H18" s="5">
        <v>90</v>
      </c>
      <c r="I18" s="15">
        <v>1974</v>
      </c>
      <c r="J18" s="15"/>
      <c r="K18" s="15"/>
      <c r="L18" s="15">
        <v>161509</v>
      </c>
      <c r="M18" s="15"/>
      <c r="N18" s="15">
        <v>16151</v>
      </c>
      <c r="O18" s="15"/>
      <c r="P18" s="6">
        <v>177660</v>
      </c>
    </row>
    <row r="19" spans="1:16" x14ac:dyDescent="0.3">
      <c r="A19" s="14" t="s">
        <v>56</v>
      </c>
      <c r="B19" s="14"/>
      <c r="C19" s="14" t="s">
        <v>61</v>
      </c>
      <c r="D19" s="14"/>
      <c r="E19" s="14"/>
      <c r="F19" s="4" t="s">
        <v>32</v>
      </c>
      <c r="G19" s="4" t="s">
        <v>33</v>
      </c>
      <c r="H19" s="5">
        <v>80</v>
      </c>
      <c r="I19" s="15">
        <v>1974</v>
      </c>
      <c r="J19" s="15"/>
      <c r="K19" s="15"/>
      <c r="L19" s="15">
        <v>143564</v>
      </c>
      <c r="M19" s="15"/>
      <c r="N19" s="15">
        <v>14356</v>
      </c>
      <c r="O19" s="15"/>
      <c r="P19" s="6">
        <v>157920</v>
      </c>
    </row>
    <row r="20" spans="1:16" x14ac:dyDescent="0.3">
      <c r="A20" s="14" t="s">
        <v>56</v>
      </c>
      <c r="B20" s="14"/>
      <c r="C20" s="14" t="s">
        <v>57</v>
      </c>
      <c r="D20" s="14"/>
      <c r="E20" s="14"/>
      <c r="F20" s="4" t="s">
        <v>32</v>
      </c>
      <c r="G20" s="4" t="s">
        <v>33</v>
      </c>
      <c r="H20" s="5">
        <v>112</v>
      </c>
      <c r="I20" s="15">
        <v>1974</v>
      </c>
      <c r="J20" s="15"/>
      <c r="K20" s="15"/>
      <c r="L20" s="15">
        <v>200989</v>
      </c>
      <c r="M20" s="15"/>
      <c r="N20" s="15">
        <v>20099</v>
      </c>
      <c r="O20" s="15"/>
      <c r="P20" s="6">
        <v>221088</v>
      </c>
    </row>
    <row r="21" spans="1:16" x14ac:dyDescent="0.3">
      <c r="A21" s="14" t="s">
        <v>39</v>
      </c>
      <c r="B21" s="14"/>
      <c r="C21" s="14" t="s">
        <v>38</v>
      </c>
      <c r="D21" s="14"/>
      <c r="E21" s="14"/>
      <c r="F21" s="4" t="s">
        <v>32</v>
      </c>
      <c r="G21" s="4" t="s">
        <v>33</v>
      </c>
      <c r="H21" s="5">
        <v>32</v>
      </c>
      <c r="I21" s="15">
        <v>1974</v>
      </c>
      <c r="J21" s="15"/>
      <c r="K21" s="15"/>
      <c r="L21" s="15">
        <v>57425</v>
      </c>
      <c r="M21" s="15"/>
      <c r="N21" s="15">
        <v>5743</v>
      </c>
      <c r="O21" s="15"/>
      <c r="P21" s="6">
        <v>63168</v>
      </c>
    </row>
    <row r="22" spans="1:16" x14ac:dyDescent="0.3">
      <c r="A22" s="14" t="s">
        <v>39</v>
      </c>
      <c r="B22" s="14"/>
      <c r="C22" s="14" t="s">
        <v>37</v>
      </c>
      <c r="D22" s="14"/>
      <c r="E22" s="14"/>
      <c r="F22" s="4" t="s">
        <v>32</v>
      </c>
      <c r="G22" s="4" t="s">
        <v>33</v>
      </c>
      <c r="H22" s="5">
        <v>18</v>
      </c>
      <c r="I22" s="15">
        <v>1974</v>
      </c>
      <c r="J22" s="15"/>
      <c r="K22" s="15"/>
      <c r="L22" s="15">
        <v>32302</v>
      </c>
      <c r="M22" s="15"/>
      <c r="N22" s="15">
        <v>3230</v>
      </c>
      <c r="O22" s="15"/>
      <c r="P22" s="6">
        <v>35532</v>
      </c>
    </row>
    <row r="23" spans="1:16" x14ac:dyDescent="0.3">
      <c r="A23" s="14" t="s">
        <v>39</v>
      </c>
      <c r="B23" s="14"/>
      <c r="C23" s="14" t="s">
        <v>31</v>
      </c>
      <c r="D23" s="14"/>
      <c r="E23" s="14"/>
      <c r="F23" s="4" t="s">
        <v>32</v>
      </c>
      <c r="G23" s="4" t="s">
        <v>33</v>
      </c>
      <c r="H23" s="5">
        <v>27</v>
      </c>
      <c r="I23" s="15">
        <v>1974</v>
      </c>
      <c r="J23" s="15"/>
      <c r="K23" s="15"/>
      <c r="L23" s="15">
        <v>48453</v>
      </c>
      <c r="M23" s="15"/>
      <c r="N23" s="15">
        <v>4845</v>
      </c>
      <c r="O23" s="15"/>
      <c r="P23" s="6">
        <v>53298</v>
      </c>
    </row>
    <row r="24" spans="1:16" x14ac:dyDescent="0.3">
      <c r="A24" s="14" t="s">
        <v>39</v>
      </c>
      <c r="B24" s="14"/>
      <c r="C24" s="14" t="s">
        <v>34</v>
      </c>
      <c r="D24" s="14"/>
      <c r="E24" s="14"/>
      <c r="F24" s="4" t="s">
        <v>32</v>
      </c>
      <c r="G24" s="4" t="s">
        <v>33</v>
      </c>
      <c r="H24" s="5">
        <v>35</v>
      </c>
      <c r="I24" s="15">
        <v>1974</v>
      </c>
      <c r="J24" s="15"/>
      <c r="K24" s="15"/>
      <c r="L24" s="15">
        <v>62809</v>
      </c>
      <c r="M24" s="15"/>
      <c r="N24" s="15">
        <v>6281</v>
      </c>
      <c r="O24" s="15"/>
      <c r="P24" s="6">
        <v>69090</v>
      </c>
    </row>
    <row r="25" spans="1:16" x14ac:dyDescent="0.3">
      <c r="A25" s="14" t="s">
        <v>39</v>
      </c>
      <c r="B25" s="14"/>
      <c r="C25" s="14" t="s">
        <v>35</v>
      </c>
      <c r="D25" s="14"/>
      <c r="E25" s="14"/>
      <c r="F25" s="4" t="s">
        <v>32</v>
      </c>
      <c r="G25" s="4" t="s">
        <v>33</v>
      </c>
      <c r="H25" s="5">
        <v>37</v>
      </c>
      <c r="I25" s="15">
        <v>1974</v>
      </c>
      <c r="J25" s="15"/>
      <c r="K25" s="15"/>
      <c r="L25" s="15">
        <v>66398</v>
      </c>
      <c r="M25" s="15"/>
      <c r="N25" s="15">
        <v>6640</v>
      </c>
      <c r="O25" s="15"/>
      <c r="P25" s="6">
        <v>73038</v>
      </c>
    </row>
    <row r="26" spans="1:16" x14ac:dyDescent="0.3">
      <c r="A26" s="14" t="s">
        <v>39</v>
      </c>
      <c r="B26" s="14"/>
      <c r="C26" s="14" t="s">
        <v>36</v>
      </c>
      <c r="D26" s="14"/>
      <c r="E26" s="14"/>
      <c r="F26" s="4" t="s">
        <v>32</v>
      </c>
      <c r="G26" s="4" t="s">
        <v>33</v>
      </c>
      <c r="H26" s="5">
        <v>7</v>
      </c>
      <c r="I26" s="15">
        <v>1974</v>
      </c>
      <c r="J26" s="15"/>
      <c r="K26" s="15"/>
      <c r="L26" s="15">
        <v>12562</v>
      </c>
      <c r="M26" s="15"/>
      <c r="N26" s="15">
        <v>1256</v>
      </c>
      <c r="O26" s="15"/>
      <c r="P26" s="6">
        <v>13818</v>
      </c>
    </row>
    <row r="27" spans="1:16" x14ac:dyDescent="0.3">
      <c r="A27" s="14" t="s">
        <v>39</v>
      </c>
      <c r="B27" s="14"/>
      <c r="C27" s="14" t="s">
        <v>62</v>
      </c>
      <c r="D27" s="14"/>
      <c r="E27" s="14"/>
      <c r="F27" s="4" t="s">
        <v>32</v>
      </c>
      <c r="G27" s="4" t="s">
        <v>33</v>
      </c>
      <c r="H27" s="5">
        <v>101</v>
      </c>
      <c r="I27" s="15">
        <v>1974</v>
      </c>
      <c r="J27" s="15"/>
      <c r="K27" s="15"/>
      <c r="L27" s="15">
        <v>181249</v>
      </c>
      <c r="M27" s="15"/>
      <c r="N27" s="15">
        <v>18125</v>
      </c>
      <c r="O27" s="15"/>
      <c r="P27" s="6">
        <v>199374</v>
      </c>
    </row>
    <row r="28" spans="1:16" x14ac:dyDescent="0.3">
      <c r="A28" s="14" t="s">
        <v>39</v>
      </c>
      <c r="B28" s="14"/>
      <c r="C28" s="14" t="s">
        <v>63</v>
      </c>
      <c r="D28" s="14"/>
      <c r="E28" s="14"/>
      <c r="F28" s="4" t="s">
        <v>32</v>
      </c>
      <c r="G28" s="4" t="s">
        <v>33</v>
      </c>
      <c r="H28" s="5">
        <v>92</v>
      </c>
      <c r="I28" s="15">
        <v>1974</v>
      </c>
      <c r="J28" s="15"/>
      <c r="K28" s="15"/>
      <c r="L28" s="15">
        <v>165098</v>
      </c>
      <c r="M28" s="15"/>
      <c r="N28" s="15">
        <v>16510</v>
      </c>
      <c r="O28" s="15"/>
      <c r="P28" s="6">
        <v>181608</v>
      </c>
    </row>
    <row r="29" spans="1:16" x14ac:dyDescent="0.3">
      <c r="A29" s="14" t="s">
        <v>39</v>
      </c>
      <c r="B29" s="14"/>
      <c r="C29" s="14" t="s">
        <v>64</v>
      </c>
      <c r="D29" s="14"/>
      <c r="E29" s="14"/>
      <c r="F29" s="4" t="s">
        <v>32</v>
      </c>
      <c r="G29" s="4" t="s">
        <v>33</v>
      </c>
      <c r="H29" s="5">
        <v>74</v>
      </c>
      <c r="I29" s="15">
        <v>1974</v>
      </c>
      <c r="J29" s="15"/>
      <c r="K29" s="15"/>
      <c r="L29" s="15">
        <v>132796</v>
      </c>
      <c r="M29" s="15"/>
      <c r="N29" s="15">
        <v>13280</v>
      </c>
      <c r="O29" s="15"/>
      <c r="P29" s="6">
        <v>146076</v>
      </c>
    </row>
    <row r="30" spans="1:16" x14ac:dyDescent="0.3">
      <c r="A30" s="14" t="s">
        <v>65</v>
      </c>
      <c r="B30" s="14"/>
      <c r="C30" s="14" t="s">
        <v>66</v>
      </c>
      <c r="D30" s="14"/>
      <c r="E30" s="14"/>
      <c r="F30" s="4" t="s">
        <v>32</v>
      </c>
      <c r="G30" s="4" t="s">
        <v>33</v>
      </c>
      <c r="H30" s="5">
        <v>162</v>
      </c>
      <c r="I30" s="15">
        <v>1974</v>
      </c>
      <c r="J30" s="15"/>
      <c r="K30" s="15"/>
      <c r="L30" s="15">
        <v>290716</v>
      </c>
      <c r="M30" s="15"/>
      <c r="N30" s="15">
        <v>29072</v>
      </c>
      <c r="O30" s="15"/>
      <c r="P30" s="6">
        <v>319788</v>
      </c>
    </row>
    <row r="31" spans="1:16" x14ac:dyDescent="0.3">
      <c r="A31" s="14" t="s">
        <v>65</v>
      </c>
      <c r="B31" s="14"/>
      <c r="C31" s="14" t="s">
        <v>43</v>
      </c>
      <c r="D31" s="14"/>
      <c r="E31" s="14"/>
      <c r="F31" s="4" t="s">
        <v>32</v>
      </c>
      <c r="G31" s="4" t="s">
        <v>33</v>
      </c>
      <c r="H31" s="5">
        <v>48</v>
      </c>
      <c r="I31" s="15">
        <v>1974</v>
      </c>
      <c r="J31" s="15"/>
      <c r="K31" s="15"/>
      <c r="L31" s="15">
        <v>86138</v>
      </c>
      <c r="M31" s="15"/>
      <c r="N31" s="15">
        <v>8614</v>
      </c>
      <c r="O31" s="15"/>
      <c r="P31" s="6">
        <v>94752</v>
      </c>
    </row>
    <row r="32" spans="1:16" x14ac:dyDescent="0.3">
      <c r="A32" s="14" t="s">
        <v>65</v>
      </c>
      <c r="B32" s="14"/>
      <c r="C32" s="14" t="s">
        <v>67</v>
      </c>
      <c r="D32" s="14"/>
      <c r="E32" s="14"/>
      <c r="F32" s="4" t="s">
        <v>32</v>
      </c>
      <c r="G32" s="4" t="s">
        <v>33</v>
      </c>
      <c r="H32" s="5">
        <v>50</v>
      </c>
      <c r="I32" s="15">
        <v>1974</v>
      </c>
      <c r="J32" s="15"/>
      <c r="K32" s="15"/>
      <c r="L32" s="15">
        <v>89727</v>
      </c>
      <c r="M32" s="15"/>
      <c r="N32" s="15">
        <v>8973</v>
      </c>
      <c r="O32" s="15"/>
      <c r="P32" s="6">
        <v>98700</v>
      </c>
    </row>
    <row r="33" spans="1:16" x14ac:dyDescent="0.3">
      <c r="A33" s="14" t="s">
        <v>65</v>
      </c>
      <c r="B33" s="14"/>
      <c r="C33" s="14" t="s">
        <v>61</v>
      </c>
      <c r="D33" s="14"/>
      <c r="E33" s="14"/>
      <c r="F33" s="4" t="s">
        <v>32</v>
      </c>
      <c r="G33" s="4" t="s">
        <v>33</v>
      </c>
      <c r="H33" s="5">
        <v>76</v>
      </c>
      <c r="I33" s="15">
        <v>1974</v>
      </c>
      <c r="J33" s="15"/>
      <c r="K33" s="15"/>
      <c r="L33" s="15">
        <v>136385</v>
      </c>
      <c r="M33" s="15"/>
      <c r="N33" s="15">
        <v>13639</v>
      </c>
      <c r="O33" s="15"/>
      <c r="P33" s="6">
        <v>150024</v>
      </c>
    </row>
    <row r="34" spans="1:16" x14ac:dyDescent="0.3">
      <c r="A34" s="14" t="s">
        <v>40</v>
      </c>
      <c r="B34" s="14"/>
      <c r="C34" s="14" t="s">
        <v>31</v>
      </c>
      <c r="D34" s="14"/>
      <c r="E34" s="14"/>
      <c r="F34" s="4" t="s">
        <v>32</v>
      </c>
      <c r="G34" s="4" t="s">
        <v>33</v>
      </c>
      <c r="H34" s="5">
        <v>60</v>
      </c>
      <c r="I34" s="15">
        <v>1974</v>
      </c>
      <c r="J34" s="15"/>
      <c r="K34" s="15"/>
      <c r="L34" s="15">
        <v>107673</v>
      </c>
      <c r="M34" s="15"/>
      <c r="N34" s="15">
        <v>10767</v>
      </c>
      <c r="O34" s="15"/>
      <c r="P34" s="6">
        <v>118440</v>
      </c>
    </row>
    <row r="35" spans="1:16" x14ac:dyDescent="0.3">
      <c r="A35" s="14" t="s">
        <v>40</v>
      </c>
      <c r="B35" s="14"/>
      <c r="C35" s="14" t="s">
        <v>34</v>
      </c>
      <c r="D35" s="14"/>
      <c r="E35" s="14"/>
      <c r="F35" s="4" t="s">
        <v>32</v>
      </c>
      <c r="G35" s="4" t="s">
        <v>33</v>
      </c>
      <c r="H35" s="5">
        <v>76</v>
      </c>
      <c r="I35" s="15">
        <v>1974</v>
      </c>
      <c r="J35" s="15"/>
      <c r="K35" s="15"/>
      <c r="L35" s="15">
        <v>136385</v>
      </c>
      <c r="M35" s="15"/>
      <c r="N35" s="15">
        <v>13639</v>
      </c>
      <c r="O35" s="15"/>
      <c r="P35" s="6">
        <v>150024</v>
      </c>
    </row>
    <row r="36" spans="1:16" x14ac:dyDescent="0.3">
      <c r="A36" s="14" t="s">
        <v>40</v>
      </c>
      <c r="B36" s="14"/>
      <c r="C36" s="14" t="s">
        <v>35</v>
      </c>
      <c r="D36" s="14"/>
      <c r="E36" s="14"/>
      <c r="F36" s="4" t="s">
        <v>32</v>
      </c>
      <c r="G36" s="4" t="s">
        <v>33</v>
      </c>
      <c r="H36" s="5">
        <v>77</v>
      </c>
      <c r="I36" s="15">
        <v>1974</v>
      </c>
      <c r="J36" s="15"/>
      <c r="K36" s="15"/>
      <c r="L36" s="15">
        <v>138180</v>
      </c>
      <c r="M36" s="15"/>
      <c r="N36" s="15">
        <v>13818</v>
      </c>
      <c r="O36" s="15"/>
      <c r="P36" s="6">
        <v>151998</v>
      </c>
    </row>
    <row r="37" spans="1:16" x14ac:dyDescent="0.3">
      <c r="A37" s="14" t="s">
        <v>40</v>
      </c>
      <c r="B37" s="14"/>
      <c r="C37" s="14" t="s">
        <v>37</v>
      </c>
      <c r="D37" s="14"/>
      <c r="E37" s="14"/>
      <c r="F37" s="4" t="s">
        <v>32</v>
      </c>
      <c r="G37" s="4" t="s">
        <v>33</v>
      </c>
      <c r="H37" s="5">
        <v>37</v>
      </c>
      <c r="I37" s="15">
        <v>1974</v>
      </c>
      <c r="J37" s="15"/>
      <c r="K37" s="15"/>
      <c r="L37" s="15">
        <v>66398</v>
      </c>
      <c r="M37" s="15"/>
      <c r="N37" s="15">
        <v>6640</v>
      </c>
      <c r="O37" s="15"/>
      <c r="P37" s="6">
        <v>73038</v>
      </c>
    </row>
    <row r="38" spans="1:16" x14ac:dyDescent="0.3">
      <c r="A38" s="14" t="s">
        <v>40</v>
      </c>
      <c r="B38" s="14"/>
      <c r="C38" s="14" t="s">
        <v>38</v>
      </c>
      <c r="D38" s="14"/>
      <c r="E38" s="14"/>
      <c r="F38" s="4" t="s">
        <v>32</v>
      </c>
      <c r="G38" s="4" t="s">
        <v>33</v>
      </c>
      <c r="H38" s="5">
        <v>73</v>
      </c>
      <c r="I38" s="15">
        <v>1974</v>
      </c>
      <c r="J38" s="15"/>
      <c r="K38" s="15"/>
      <c r="L38" s="15">
        <v>131002</v>
      </c>
      <c r="M38" s="15"/>
      <c r="N38" s="15">
        <v>13100</v>
      </c>
      <c r="O38" s="15"/>
      <c r="P38" s="6">
        <v>144102</v>
      </c>
    </row>
    <row r="39" spans="1:16" x14ac:dyDescent="0.3">
      <c r="A39" s="14" t="s">
        <v>40</v>
      </c>
      <c r="B39" s="14"/>
      <c r="C39" s="14" t="s">
        <v>36</v>
      </c>
      <c r="D39" s="14"/>
      <c r="E39" s="14"/>
      <c r="F39" s="4" t="s">
        <v>32</v>
      </c>
      <c r="G39" s="4" t="s">
        <v>33</v>
      </c>
      <c r="H39" s="5">
        <v>12</v>
      </c>
      <c r="I39" s="15">
        <v>1974</v>
      </c>
      <c r="J39" s="15"/>
      <c r="K39" s="15"/>
      <c r="L39" s="15">
        <v>21535</v>
      </c>
      <c r="M39" s="15"/>
      <c r="N39" s="15">
        <v>2153</v>
      </c>
      <c r="O39" s="15"/>
      <c r="P39" s="6">
        <v>23688</v>
      </c>
    </row>
    <row r="40" spans="1:16" x14ac:dyDescent="0.3">
      <c r="A40" s="14" t="s">
        <v>40</v>
      </c>
      <c r="B40" s="14"/>
      <c r="C40" s="14" t="s">
        <v>59</v>
      </c>
      <c r="D40" s="14"/>
      <c r="E40" s="14"/>
      <c r="F40" s="4" t="s">
        <v>32</v>
      </c>
      <c r="G40" s="4" t="s">
        <v>33</v>
      </c>
      <c r="H40" s="5">
        <v>98</v>
      </c>
      <c r="I40" s="15">
        <v>1974</v>
      </c>
      <c r="J40" s="15"/>
      <c r="K40" s="15"/>
      <c r="L40" s="15">
        <v>175865</v>
      </c>
      <c r="M40" s="15"/>
      <c r="N40" s="15">
        <v>17587</v>
      </c>
      <c r="O40" s="15"/>
      <c r="P40" s="6">
        <v>193452</v>
      </c>
    </row>
    <row r="41" spans="1:16" x14ac:dyDescent="0.3">
      <c r="A41" s="14" t="s">
        <v>40</v>
      </c>
      <c r="B41" s="14"/>
      <c r="C41" s="14" t="s">
        <v>59</v>
      </c>
      <c r="D41" s="14"/>
      <c r="E41" s="14"/>
      <c r="F41" s="4" t="s">
        <v>32</v>
      </c>
      <c r="G41" s="4" t="s">
        <v>33</v>
      </c>
      <c r="H41" s="5">
        <v>58</v>
      </c>
      <c r="I41" s="15">
        <v>1974</v>
      </c>
      <c r="J41" s="15"/>
      <c r="K41" s="15"/>
      <c r="L41" s="15">
        <v>104084</v>
      </c>
      <c r="M41" s="15"/>
      <c r="N41" s="15">
        <v>10408</v>
      </c>
      <c r="O41" s="15"/>
      <c r="P41" s="6">
        <v>114492</v>
      </c>
    </row>
    <row r="42" spans="1:16" x14ac:dyDescent="0.3">
      <c r="A42" s="14" t="s">
        <v>68</v>
      </c>
      <c r="B42" s="14"/>
      <c r="C42" s="14" t="s">
        <v>57</v>
      </c>
      <c r="D42" s="14"/>
      <c r="E42" s="14"/>
      <c r="F42" s="4" t="s">
        <v>32</v>
      </c>
      <c r="G42" s="4" t="s">
        <v>33</v>
      </c>
      <c r="H42" s="5">
        <v>104</v>
      </c>
      <c r="I42" s="15">
        <v>1979</v>
      </c>
      <c r="J42" s="15"/>
      <c r="K42" s="15"/>
      <c r="L42" s="15">
        <v>187105</v>
      </c>
      <c r="M42" s="15"/>
      <c r="N42" s="15">
        <v>18711</v>
      </c>
      <c r="O42" s="15"/>
      <c r="P42" s="6">
        <v>205816</v>
      </c>
    </row>
    <row r="43" spans="1:16" x14ac:dyDescent="0.3">
      <c r="A43" s="14" t="s">
        <v>69</v>
      </c>
      <c r="B43" s="14"/>
      <c r="C43" s="14" t="s">
        <v>64</v>
      </c>
      <c r="D43" s="14"/>
      <c r="E43" s="14"/>
      <c r="F43" s="4" t="s">
        <v>32</v>
      </c>
      <c r="G43" s="4" t="s">
        <v>33</v>
      </c>
      <c r="H43" s="5">
        <v>75</v>
      </c>
      <c r="I43" s="15">
        <v>1979</v>
      </c>
      <c r="J43" s="15"/>
      <c r="K43" s="15"/>
      <c r="L43" s="15">
        <v>134932</v>
      </c>
      <c r="M43" s="15"/>
      <c r="N43" s="15">
        <v>13493</v>
      </c>
      <c r="O43" s="15"/>
      <c r="P43" s="6">
        <v>148425</v>
      </c>
    </row>
    <row r="44" spans="1:16" x14ac:dyDescent="0.3">
      <c r="A44" s="14" t="s">
        <v>69</v>
      </c>
      <c r="B44" s="14"/>
      <c r="C44" s="14" t="s">
        <v>60</v>
      </c>
      <c r="D44" s="14"/>
      <c r="E44" s="14"/>
      <c r="F44" s="4" t="s">
        <v>32</v>
      </c>
      <c r="G44" s="4" t="s">
        <v>33</v>
      </c>
      <c r="H44" s="5">
        <v>100</v>
      </c>
      <c r="I44" s="15">
        <v>1979</v>
      </c>
      <c r="J44" s="15"/>
      <c r="K44" s="15"/>
      <c r="L44" s="15">
        <v>179909</v>
      </c>
      <c r="M44" s="15"/>
      <c r="N44" s="15">
        <v>17991</v>
      </c>
      <c r="O44" s="15"/>
      <c r="P44" s="6">
        <v>197900</v>
      </c>
    </row>
    <row r="45" spans="1:16" x14ac:dyDescent="0.3">
      <c r="A45" s="14" t="s">
        <v>41</v>
      </c>
      <c r="B45" s="14"/>
      <c r="C45" s="14" t="s">
        <v>37</v>
      </c>
      <c r="D45" s="14"/>
      <c r="E45" s="14"/>
      <c r="F45" s="4" t="s">
        <v>32</v>
      </c>
      <c r="G45" s="4" t="s">
        <v>33</v>
      </c>
      <c r="H45" s="5">
        <v>17</v>
      </c>
      <c r="I45" s="15">
        <v>1979</v>
      </c>
      <c r="J45" s="15"/>
      <c r="K45" s="15"/>
      <c r="L45" s="15">
        <v>30585</v>
      </c>
      <c r="M45" s="15"/>
      <c r="N45" s="15">
        <v>3058</v>
      </c>
      <c r="O45" s="15"/>
      <c r="P45" s="6">
        <v>33643</v>
      </c>
    </row>
    <row r="46" spans="1:16" x14ac:dyDescent="0.3">
      <c r="A46" s="14" t="s">
        <v>41</v>
      </c>
      <c r="B46" s="14"/>
      <c r="C46" s="14" t="s">
        <v>34</v>
      </c>
      <c r="D46" s="14"/>
      <c r="E46" s="14"/>
      <c r="F46" s="4" t="s">
        <v>32</v>
      </c>
      <c r="G46" s="4" t="s">
        <v>33</v>
      </c>
      <c r="H46" s="5">
        <v>37</v>
      </c>
      <c r="I46" s="15">
        <v>1979</v>
      </c>
      <c r="J46" s="15"/>
      <c r="K46" s="15"/>
      <c r="L46" s="15">
        <v>66566</v>
      </c>
      <c r="M46" s="15"/>
      <c r="N46" s="15">
        <v>6657</v>
      </c>
      <c r="O46" s="15"/>
      <c r="P46" s="6">
        <v>73223</v>
      </c>
    </row>
    <row r="47" spans="1:16" x14ac:dyDescent="0.3">
      <c r="A47" s="14" t="s">
        <v>41</v>
      </c>
      <c r="B47" s="14"/>
      <c r="C47" s="14" t="s">
        <v>31</v>
      </c>
      <c r="D47" s="14"/>
      <c r="E47" s="14"/>
      <c r="F47" s="4" t="s">
        <v>32</v>
      </c>
      <c r="G47" s="4" t="s">
        <v>33</v>
      </c>
      <c r="H47" s="5">
        <v>22</v>
      </c>
      <c r="I47" s="15">
        <v>1979</v>
      </c>
      <c r="J47" s="15"/>
      <c r="K47" s="15"/>
      <c r="L47" s="15">
        <v>39580</v>
      </c>
      <c r="M47" s="15"/>
      <c r="N47" s="15">
        <v>3958</v>
      </c>
      <c r="O47" s="15"/>
      <c r="P47" s="6">
        <v>43538</v>
      </c>
    </row>
    <row r="48" spans="1:16" x14ac:dyDescent="0.3">
      <c r="A48" s="14" t="s">
        <v>41</v>
      </c>
      <c r="B48" s="14"/>
      <c r="C48" s="14" t="s">
        <v>35</v>
      </c>
      <c r="D48" s="14"/>
      <c r="E48" s="14"/>
      <c r="F48" s="4" t="s">
        <v>32</v>
      </c>
      <c r="G48" s="4" t="s">
        <v>33</v>
      </c>
      <c r="H48" s="5">
        <v>42</v>
      </c>
      <c r="I48" s="15">
        <v>1979</v>
      </c>
      <c r="J48" s="15"/>
      <c r="K48" s="15"/>
      <c r="L48" s="15">
        <v>75562</v>
      </c>
      <c r="M48" s="15"/>
      <c r="N48" s="15">
        <v>7556</v>
      </c>
      <c r="O48" s="15"/>
      <c r="P48" s="6">
        <v>83118</v>
      </c>
    </row>
    <row r="49" spans="1:16" x14ac:dyDescent="0.3">
      <c r="A49" s="14" t="s">
        <v>41</v>
      </c>
      <c r="B49" s="14"/>
      <c r="C49" s="14" t="s">
        <v>36</v>
      </c>
      <c r="D49" s="14"/>
      <c r="E49" s="14"/>
      <c r="F49" s="4" t="s">
        <v>32</v>
      </c>
      <c r="G49" s="4" t="s">
        <v>33</v>
      </c>
      <c r="H49" s="5">
        <v>6</v>
      </c>
      <c r="I49" s="15">
        <v>1979</v>
      </c>
      <c r="J49" s="15"/>
      <c r="K49" s="15"/>
      <c r="L49" s="15">
        <v>10795</v>
      </c>
      <c r="M49" s="15"/>
      <c r="N49" s="15">
        <v>1079</v>
      </c>
      <c r="O49" s="15"/>
      <c r="P49" s="6">
        <v>11874</v>
      </c>
    </row>
    <row r="50" spans="1:16" x14ac:dyDescent="0.3">
      <c r="A50" s="14" t="s">
        <v>41</v>
      </c>
      <c r="B50" s="14"/>
      <c r="C50" s="14" t="s">
        <v>38</v>
      </c>
      <c r="D50" s="14"/>
      <c r="E50" s="14"/>
      <c r="F50" s="4" t="s">
        <v>32</v>
      </c>
      <c r="G50" s="4" t="s">
        <v>33</v>
      </c>
      <c r="H50" s="5">
        <v>37</v>
      </c>
      <c r="I50" s="15">
        <v>1979</v>
      </c>
      <c r="J50" s="15"/>
      <c r="K50" s="15"/>
      <c r="L50" s="15">
        <v>66566</v>
      </c>
      <c r="M50" s="15"/>
      <c r="N50" s="15">
        <v>6657</v>
      </c>
      <c r="O50" s="15"/>
      <c r="P50" s="6">
        <v>73223</v>
      </c>
    </row>
    <row r="51" spans="1:16" x14ac:dyDescent="0.3">
      <c r="A51" s="14" t="s">
        <v>41</v>
      </c>
      <c r="B51" s="14"/>
      <c r="C51" s="14" t="s">
        <v>66</v>
      </c>
      <c r="D51" s="14"/>
      <c r="E51" s="14"/>
      <c r="F51" s="4" t="s">
        <v>32</v>
      </c>
      <c r="G51" s="4" t="s">
        <v>33</v>
      </c>
      <c r="H51" s="5">
        <v>138</v>
      </c>
      <c r="I51" s="15">
        <v>1979</v>
      </c>
      <c r="J51" s="15"/>
      <c r="K51" s="15"/>
      <c r="L51" s="15">
        <v>248275</v>
      </c>
      <c r="M51" s="15"/>
      <c r="N51" s="15">
        <v>24827</v>
      </c>
      <c r="O51" s="15"/>
      <c r="P51" s="6">
        <v>273102</v>
      </c>
    </row>
    <row r="52" spans="1:16" x14ac:dyDescent="0.3">
      <c r="A52" s="14" t="s">
        <v>41</v>
      </c>
      <c r="B52" s="14"/>
      <c r="C52" s="14" t="s">
        <v>63</v>
      </c>
      <c r="D52" s="14"/>
      <c r="E52" s="14"/>
      <c r="F52" s="4" t="s">
        <v>32</v>
      </c>
      <c r="G52" s="4" t="s">
        <v>33</v>
      </c>
      <c r="H52" s="5">
        <v>106</v>
      </c>
      <c r="I52" s="15">
        <v>1979</v>
      </c>
      <c r="J52" s="15"/>
      <c r="K52" s="15"/>
      <c r="L52" s="15">
        <v>190704</v>
      </c>
      <c r="M52" s="15"/>
      <c r="N52" s="15">
        <v>19070</v>
      </c>
      <c r="O52" s="15"/>
      <c r="P52" s="6">
        <v>209774</v>
      </c>
    </row>
    <row r="53" spans="1:16" x14ac:dyDescent="0.3">
      <c r="A53" s="14" t="s">
        <v>41</v>
      </c>
      <c r="B53" s="14"/>
      <c r="C53" s="14" t="s">
        <v>61</v>
      </c>
      <c r="D53" s="14"/>
      <c r="E53" s="14"/>
      <c r="F53" s="4" t="s">
        <v>32</v>
      </c>
      <c r="G53" s="4" t="s">
        <v>33</v>
      </c>
      <c r="H53" s="5">
        <v>74</v>
      </c>
      <c r="I53" s="15">
        <v>1979</v>
      </c>
      <c r="J53" s="15"/>
      <c r="K53" s="15"/>
      <c r="L53" s="15">
        <v>133133</v>
      </c>
      <c r="M53" s="15"/>
      <c r="N53" s="15">
        <v>13313</v>
      </c>
      <c r="O53" s="15"/>
      <c r="P53" s="6">
        <v>146446</v>
      </c>
    </row>
    <row r="54" spans="1:16" x14ac:dyDescent="0.3">
      <c r="A54" s="14" t="s">
        <v>70</v>
      </c>
      <c r="B54" s="14"/>
      <c r="C54" s="14" t="s">
        <v>62</v>
      </c>
      <c r="D54" s="14"/>
      <c r="E54" s="14"/>
      <c r="F54" s="4" t="s">
        <v>32</v>
      </c>
      <c r="G54" s="4" t="s">
        <v>33</v>
      </c>
      <c r="H54" s="5">
        <v>100</v>
      </c>
      <c r="I54" s="15">
        <v>1979</v>
      </c>
      <c r="J54" s="15"/>
      <c r="K54" s="15"/>
      <c r="L54" s="15">
        <v>179909</v>
      </c>
      <c r="M54" s="15"/>
      <c r="N54" s="15">
        <v>17991</v>
      </c>
      <c r="O54" s="15"/>
      <c r="P54" s="6">
        <v>197900</v>
      </c>
    </row>
    <row r="55" spans="1:16" x14ac:dyDescent="0.3">
      <c r="A55" s="14" t="s">
        <v>70</v>
      </c>
      <c r="B55" s="14"/>
      <c r="C55" s="14" t="s">
        <v>71</v>
      </c>
      <c r="D55" s="14"/>
      <c r="E55" s="14"/>
      <c r="F55" s="4" t="s">
        <v>32</v>
      </c>
      <c r="G55" s="4" t="s">
        <v>33</v>
      </c>
      <c r="H55" s="5">
        <v>58</v>
      </c>
      <c r="I55" s="15">
        <v>1979</v>
      </c>
      <c r="J55" s="15"/>
      <c r="K55" s="15"/>
      <c r="L55" s="15">
        <v>104347</v>
      </c>
      <c r="M55" s="15"/>
      <c r="N55" s="15">
        <v>10435</v>
      </c>
      <c r="O55" s="15"/>
      <c r="P55" s="6">
        <v>114782</v>
      </c>
    </row>
    <row r="56" spans="1:16" x14ac:dyDescent="0.3">
      <c r="A56" s="14" t="s">
        <v>70</v>
      </c>
      <c r="B56" s="14"/>
      <c r="C56" s="14" t="s">
        <v>72</v>
      </c>
      <c r="D56" s="14"/>
      <c r="E56" s="14"/>
      <c r="F56" s="4" t="s">
        <v>32</v>
      </c>
      <c r="G56" s="4" t="s">
        <v>33</v>
      </c>
      <c r="H56" s="5">
        <v>50</v>
      </c>
      <c r="I56" s="15">
        <v>1979</v>
      </c>
      <c r="J56" s="15"/>
      <c r="K56" s="15"/>
      <c r="L56" s="15">
        <v>89955</v>
      </c>
      <c r="M56" s="15"/>
      <c r="N56" s="15">
        <v>8995</v>
      </c>
      <c r="O56" s="15"/>
      <c r="P56" s="6">
        <v>98950</v>
      </c>
    </row>
    <row r="57" spans="1:16" x14ac:dyDescent="0.3">
      <c r="A57" s="14" t="s">
        <v>70</v>
      </c>
      <c r="B57" s="14"/>
      <c r="C57" s="14" t="s">
        <v>64</v>
      </c>
      <c r="D57" s="14"/>
      <c r="E57" s="14"/>
      <c r="F57" s="4" t="s">
        <v>32</v>
      </c>
      <c r="G57" s="4" t="s">
        <v>33</v>
      </c>
      <c r="H57" s="5">
        <v>80</v>
      </c>
      <c r="I57" s="15">
        <v>1979</v>
      </c>
      <c r="J57" s="15"/>
      <c r="K57" s="15"/>
      <c r="L57" s="15">
        <v>143927</v>
      </c>
      <c r="M57" s="15"/>
      <c r="N57" s="15">
        <v>14393</v>
      </c>
      <c r="O57" s="15"/>
      <c r="P57" s="6">
        <v>158320</v>
      </c>
    </row>
    <row r="58" spans="1:16" x14ac:dyDescent="0.3">
      <c r="A58" s="14" t="s">
        <v>42</v>
      </c>
      <c r="B58" s="14"/>
      <c r="C58" s="14" t="s">
        <v>43</v>
      </c>
      <c r="D58" s="14"/>
      <c r="E58" s="14"/>
      <c r="F58" s="4" t="s">
        <v>32</v>
      </c>
      <c r="G58" s="4" t="s">
        <v>33</v>
      </c>
      <c r="H58" s="5">
        <v>49</v>
      </c>
      <c r="I58" s="15">
        <v>1979</v>
      </c>
      <c r="J58" s="15"/>
      <c r="K58" s="15"/>
      <c r="L58" s="15">
        <v>88155</v>
      </c>
      <c r="M58" s="15"/>
      <c r="N58" s="15">
        <v>8816</v>
      </c>
      <c r="O58" s="15"/>
      <c r="P58" s="6">
        <v>96971</v>
      </c>
    </row>
    <row r="59" spans="1:16" x14ac:dyDescent="0.3">
      <c r="A59" s="14" t="s">
        <v>42</v>
      </c>
      <c r="B59" s="14"/>
      <c r="C59" s="14" t="s">
        <v>38</v>
      </c>
      <c r="D59" s="14"/>
      <c r="E59" s="14"/>
      <c r="F59" s="4" t="s">
        <v>32</v>
      </c>
      <c r="G59" s="4" t="s">
        <v>33</v>
      </c>
      <c r="H59" s="5">
        <v>74</v>
      </c>
      <c r="I59" s="15">
        <v>1979</v>
      </c>
      <c r="J59" s="15"/>
      <c r="K59" s="15"/>
      <c r="L59" s="15">
        <v>133133</v>
      </c>
      <c r="M59" s="15"/>
      <c r="N59" s="15">
        <v>13313</v>
      </c>
      <c r="O59" s="15"/>
      <c r="P59" s="6">
        <v>146446</v>
      </c>
    </row>
    <row r="60" spans="1:16" x14ac:dyDescent="0.3">
      <c r="A60" s="14" t="s">
        <v>42</v>
      </c>
      <c r="B60" s="14"/>
      <c r="C60" s="14" t="s">
        <v>37</v>
      </c>
      <c r="D60" s="14"/>
      <c r="E60" s="14"/>
      <c r="F60" s="4" t="s">
        <v>32</v>
      </c>
      <c r="G60" s="4" t="s">
        <v>33</v>
      </c>
      <c r="H60" s="5">
        <v>31</v>
      </c>
      <c r="I60" s="15">
        <v>1979</v>
      </c>
      <c r="J60" s="15"/>
      <c r="K60" s="15"/>
      <c r="L60" s="15">
        <v>55772</v>
      </c>
      <c r="M60" s="15"/>
      <c r="N60" s="15">
        <v>5577</v>
      </c>
      <c r="O60" s="15"/>
      <c r="P60" s="6">
        <v>61349</v>
      </c>
    </row>
    <row r="61" spans="1:16" x14ac:dyDescent="0.3">
      <c r="A61" s="14" t="s">
        <v>42</v>
      </c>
      <c r="B61" s="14"/>
      <c r="C61" s="14" t="s">
        <v>36</v>
      </c>
      <c r="D61" s="14"/>
      <c r="E61" s="14"/>
      <c r="F61" s="4" t="s">
        <v>32</v>
      </c>
      <c r="G61" s="4" t="s">
        <v>33</v>
      </c>
      <c r="H61" s="5">
        <v>7</v>
      </c>
      <c r="I61" s="15">
        <v>1979</v>
      </c>
      <c r="J61" s="15"/>
      <c r="K61" s="15"/>
      <c r="L61" s="15">
        <v>12594</v>
      </c>
      <c r="M61" s="15"/>
      <c r="N61" s="15">
        <v>1259</v>
      </c>
      <c r="O61" s="15"/>
      <c r="P61" s="6">
        <v>13853</v>
      </c>
    </row>
    <row r="62" spans="1:16" x14ac:dyDescent="0.3">
      <c r="A62" s="14" t="s">
        <v>42</v>
      </c>
      <c r="B62" s="14"/>
      <c r="C62" s="14" t="s">
        <v>35</v>
      </c>
      <c r="D62" s="14"/>
      <c r="E62" s="14"/>
      <c r="F62" s="4" t="s">
        <v>32</v>
      </c>
      <c r="G62" s="4" t="s">
        <v>33</v>
      </c>
      <c r="H62" s="5">
        <v>71</v>
      </c>
      <c r="I62" s="15">
        <v>1979</v>
      </c>
      <c r="J62" s="15"/>
      <c r="K62" s="15"/>
      <c r="L62" s="15">
        <v>127735</v>
      </c>
      <c r="M62" s="15"/>
      <c r="N62" s="15">
        <v>12774</v>
      </c>
      <c r="O62" s="15"/>
      <c r="P62" s="6">
        <v>140509</v>
      </c>
    </row>
    <row r="63" spans="1:16" x14ac:dyDescent="0.3">
      <c r="A63" s="14" t="s">
        <v>42</v>
      </c>
      <c r="B63" s="14"/>
      <c r="C63" s="14" t="s">
        <v>34</v>
      </c>
      <c r="D63" s="14"/>
      <c r="E63" s="14"/>
      <c r="F63" s="4" t="s">
        <v>32</v>
      </c>
      <c r="G63" s="4" t="s">
        <v>33</v>
      </c>
      <c r="H63" s="5">
        <v>78</v>
      </c>
      <c r="I63" s="15">
        <v>1979</v>
      </c>
      <c r="J63" s="15"/>
      <c r="K63" s="15"/>
      <c r="L63" s="15">
        <v>140329</v>
      </c>
      <c r="M63" s="15"/>
      <c r="N63" s="15">
        <v>14033</v>
      </c>
      <c r="O63" s="15"/>
      <c r="P63" s="6">
        <v>154362</v>
      </c>
    </row>
    <row r="64" spans="1:16" x14ac:dyDescent="0.3">
      <c r="A64" s="14" t="s">
        <v>42</v>
      </c>
      <c r="B64" s="14"/>
      <c r="C64" s="14" t="s">
        <v>31</v>
      </c>
      <c r="D64" s="14"/>
      <c r="E64" s="14"/>
      <c r="F64" s="4" t="s">
        <v>32</v>
      </c>
      <c r="G64" s="4" t="s">
        <v>33</v>
      </c>
      <c r="H64" s="5">
        <v>53</v>
      </c>
      <c r="I64" s="15">
        <v>1979</v>
      </c>
      <c r="J64" s="15"/>
      <c r="K64" s="15"/>
      <c r="L64" s="15">
        <v>95352</v>
      </c>
      <c r="M64" s="15"/>
      <c r="N64" s="15">
        <v>9535</v>
      </c>
      <c r="O64" s="15"/>
      <c r="P64" s="6">
        <v>104887</v>
      </c>
    </row>
    <row r="65" spans="1:16" x14ac:dyDescent="0.3">
      <c r="A65" s="14" t="s">
        <v>42</v>
      </c>
      <c r="B65" s="14"/>
      <c r="C65" s="14" t="s">
        <v>59</v>
      </c>
      <c r="D65" s="14"/>
      <c r="E65" s="14"/>
      <c r="F65" s="4" t="s">
        <v>32</v>
      </c>
      <c r="G65" s="4" t="s">
        <v>33</v>
      </c>
      <c r="H65" s="5">
        <v>98</v>
      </c>
      <c r="I65" s="15">
        <v>1979</v>
      </c>
      <c r="J65" s="15"/>
      <c r="K65" s="15"/>
      <c r="L65" s="15">
        <v>176311</v>
      </c>
      <c r="M65" s="15"/>
      <c r="N65" s="15">
        <v>17631</v>
      </c>
      <c r="O65" s="15"/>
      <c r="P65" s="6">
        <v>193942</v>
      </c>
    </row>
    <row r="66" spans="1:16" x14ac:dyDescent="0.3">
      <c r="A66" s="14" t="s">
        <v>42</v>
      </c>
      <c r="B66" s="14"/>
      <c r="C66" s="14" t="s">
        <v>61</v>
      </c>
      <c r="D66" s="14"/>
      <c r="E66" s="14"/>
      <c r="F66" s="4" t="s">
        <v>32</v>
      </c>
      <c r="G66" s="4" t="s">
        <v>33</v>
      </c>
      <c r="H66" s="5">
        <v>80</v>
      </c>
      <c r="I66" s="15">
        <v>1979</v>
      </c>
      <c r="J66" s="15"/>
      <c r="K66" s="15"/>
      <c r="L66" s="15">
        <v>143927</v>
      </c>
      <c r="M66" s="15"/>
      <c r="N66" s="15">
        <v>14393</v>
      </c>
      <c r="O66" s="15"/>
      <c r="P66" s="6">
        <v>158320</v>
      </c>
    </row>
    <row r="67" spans="1:16" x14ac:dyDescent="0.3">
      <c r="A67" s="14" t="s">
        <v>73</v>
      </c>
      <c r="B67" s="14"/>
      <c r="C67" s="14" t="s">
        <v>57</v>
      </c>
      <c r="D67" s="14"/>
      <c r="E67" s="14"/>
      <c r="F67" s="4" t="s">
        <v>32</v>
      </c>
      <c r="G67" s="4" t="s">
        <v>33</v>
      </c>
      <c r="H67" s="5">
        <v>108</v>
      </c>
      <c r="I67" s="15">
        <v>1979</v>
      </c>
      <c r="J67" s="15"/>
      <c r="K67" s="15"/>
      <c r="L67" s="15">
        <v>194302</v>
      </c>
      <c r="M67" s="15"/>
      <c r="N67" s="15">
        <v>19430</v>
      </c>
      <c r="O67" s="15"/>
      <c r="P67" s="6">
        <v>213732</v>
      </c>
    </row>
    <row r="68" spans="1:16" x14ac:dyDescent="0.3">
      <c r="A68" s="14" t="s">
        <v>73</v>
      </c>
      <c r="B68" s="14"/>
      <c r="C68" s="14" t="s">
        <v>66</v>
      </c>
      <c r="D68" s="14"/>
      <c r="E68" s="14"/>
      <c r="F68" s="4" t="s">
        <v>32</v>
      </c>
      <c r="G68" s="4" t="s">
        <v>33</v>
      </c>
      <c r="H68" s="5">
        <v>177</v>
      </c>
      <c r="I68" s="15">
        <v>1979</v>
      </c>
      <c r="J68" s="15"/>
      <c r="K68" s="15"/>
      <c r="L68" s="15">
        <v>318439</v>
      </c>
      <c r="M68" s="15"/>
      <c r="N68" s="15">
        <v>31844</v>
      </c>
      <c r="O68" s="15"/>
      <c r="P68" s="6">
        <v>350283</v>
      </c>
    </row>
    <row r="69" spans="1:16" x14ac:dyDescent="0.3">
      <c r="A69" s="14" t="s">
        <v>73</v>
      </c>
      <c r="B69" s="14"/>
      <c r="C69" s="14" t="s">
        <v>63</v>
      </c>
      <c r="D69" s="14"/>
      <c r="E69" s="14"/>
      <c r="F69" s="4" t="s">
        <v>32</v>
      </c>
      <c r="G69" s="4" t="s">
        <v>33</v>
      </c>
      <c r="H69" s="5">
        <v>110</v>
      </c>
      <c r="I69" s="15">
        <v>1979</v>
      </c>
      <c r="J69" s="15"/>
      <c r="K69" s="15"/>
      <c r="L69" s="15">
        <v>197900</v>
      </c>
      <c r="M69" s="15"/>
      <c r="N69" s="15">
        <v>19790</v>
      </c>
      <c r="O69" s="15"/>
      <c r="P69" s="6">
        <v>217690</v>
      </c>
    </row>
    <row r="70" spans="1:16" x14ac:dyDescent="0.3">
      <c r="A70" s="14" t="s">
        <v>44</v>
      </c>
      <c r="B70" s="14"/>
      <c r="C70" s="14" t="s">
        <v>43</v>
      </c>
      <c r="D70" s="14"/>
      <c r="E70" s="14"/>
      <c r="F70" s="4" t="s">
        <v>32</v>
      </c>
      <c r="G70" s="4" t="s">
        <v>33</v>
      </c>
      <c r="H70" s="5">
        <v>1</v>
      </c>
      <c r="I70" s="15">
        <v>1979</v>
      </c>
      <c r="J70" s="15"/>
      <c r="K70" s="15"/>
      <c r="L70" s="15">
        <v>1799</v>
      </c>
      <c r="M70" s="15"/>
      <c r="N70" s="15">
        <v>180</v>
      </c>
      <c r="O70" s="15"/>
      <c r="P70" s="6">
        <v>1979</v>
      </c>
    </row>
    <row r="71" spans="1:16" x14ac:dyDescent="0.3">
      <c r="A71" s="14" t="s">
        <v>44</v>
      </c>
      <c r="B71" s="14"/>
      <c r="C71" s="14" t="s">
        <v>38</v>
      </c>
      <c r="D71" s="14"/>
      <c r="E71" s="14"/>
      <c r="F71" s="4" t="s">
        <v>32</v>
      </c>
      <c r="G71" s="4" t="s">
        <v>33</v>
      </c>
      <c r="H71" s="5">
        <v>66</v>
      </c>
      <c r="I71" s="15">
        <v>1979</v>
      </c>
      <c r="J71" s="15"/>
      <c r="K71" s="15"/>
      <c r="L71" s="15">
        <v>118740</v>
      </c>
      <c r="M71" s="15"/>
      <c r="N71" s="15">
        <v>11874</v>
      </c>
      <c r="O71" s="15"/>
      <c r="P71" s="6">
        <v>130614</v>
      </c>
    </row>
    <row r="72" spans="1:16" x14ac:dyDescent="0.3">
      <c r="A72" s="14" t="s">
        <v>44</v>
      </c>
      <c r="B72" s="14"/>
      <c r="C72" s="14" t="s">
        <v>37</v>
      </c>
      <c r="D72" s="14"/>
      <c r="E72" s="14"/>
      <c r="F72" s="4" t="s">
        <v>32</v>
      </c>
      <c r="G72" s="4" t="s">
        <v>33</v>
      </c>
      <c r="H72" s="5">
        <v>35</v>
      </c>
      <c r="I72" s="15">
        <v>1979</v>
      </c>
      <c r="J72" s="15"/>
      <c r="K72" s="15"/>
      <c r="L72" s="15">
        <v>62968</v>
      </c>
      <c r="M72" s="15"/>
      <c r="N72" s="15">
        <v>6297</v>
      </c>
      <c r="O72" s="15"/>
      <c r="P72" s="6">
        <v>69265</v>
      </c>
    </row>
    <row r="73" spans="1:16" x14ac:dyDescent="0.3">
      <c r="A73" s="14" t="s">
        <v>44</v>
      </c>
      <c r="B73" s="14"/>
      <c r="C73" s="14" t="s">
        <v>36</v>
      </c>
      <c r="D73" s="14"/>
      <c r="E73" s="14"/>
      <c r="F73" s="4" t="s">
        <v>32</v>
      </c>
      <c r="G73" s="4" t="s">
        <v>33</v>
      </c>
      <c r="H73" s="5">
        <v>20</v>
      </c>
      <c r="I73" s="15">
        <v>1979</v>
      </c>
      <c r="J73" s="15"/>
      <c r="K73" s="15"/>
      <c r="L73" s="15">
        <v>35982</v>
      </c>
      <c r="M73" s="15"/>
      <c r="N73" s="15">
        <v>3598</v>
      </c>
      <c r="O73" s="15"/>
      <c r="P73" s="6">
        <v>39580</v>
      </c>
    </row>
    <row r="74" spans="1:16" x14ac:dyDescent="0.3">
      <c r="A74" s="14" t="s">
        <v>44</v>
      </c>
      <c r="B74" s="14"/>
      <c r="C74" s="14" t="s">
        <v>35</v>
      </c>
      <c r="D74" s="14"/>
      <c r="E74" s="14"/>
      <c r="F74" s="4" t="s">
        <v>32</v>
      </c>
      <c r="G74" s="4" t="s">
        <v>33</v>
      </c>
      <c r="H74" s="5">
        <v>67</v>
      </c>
      <c r="I74" s="15">
        <v>1979</v>
      </c>
      <c r="J74" s="15"/>
      <c r="K74" s="15"/>
      <c r="L74" s="15">
        <v>120539</v>
      </c>
      <c r="M74" s="15"/>
      <c r="N74" s="15">
        <v>12054</v>
      </c>
      <c r="O74" s="15"/>
      <c r="P74" s="6">
        <v>132593</v>
      </c>
    </row>
    <row r="75" spans="1:16" x14ac:dyDescent="0.3">
      <c r="A75" s="14" t="s">
        <v>44</v>
      </c>
      <c r="B75" s="14"/>
      <c r="C75" s="14" t="s">
        <v>34</v>
      </c>
      <c r="D75" s="14"/>
      <c r="E75" s="14"/>
      <c r="F75" s="4" t="s">
        <v>32</v>
      </c>
      <c r="G75" s="4" t="s">
        <v>33</v>
      </c>
      <c r="H75" s="5">
        <v>62</v>
      </c>
      <c r="I75" s="15">
        <v>1979</v>
      </c>
      <c r="J75" s="15"/>
      <c r="K75" s="15"/>
      <c r="L75" s="15">
        <v>111544</v>
      </c>
      <c r="M75" s="15"/>
      <c r="N75" s="15">
        <v>11154</v>
      </c>
      <c r="O75" s="15"/>
      <c r="P75" s="6">
        <v>122698</v>
      </c>
    </row>
    <row r="76" spans="1:16" x14ac:dyDescent="0.3">
      <c r="A76" s="14" t="s">
        <v>44</v>
      </c>
      <c r="B76" s="14"/>
      <c r="C76" s="14" t="s">
        <v>31</v>
      </c>
      <c r="D76" s="14"/>
      <c r="E76" s="14"/>
      <c r="F76" s="4" t="s">
        <v>32</v>
      </c>
      <c r="G76" s="4" t="s">
        <v>33</v>
      </c>
      <c r="H76" s="5">
        <v>85</v>
      </c>
      <c r="I76" s="15">
        <v>1979</v>
      </c>
      <c r="J76" s="15"/>
      <c r="K76" s="15"/>
      <c r="L76" s="15">
        <v>152923</v>
      </c>
      <c r="M76" s="15"/>
      <c r="N76" s="15">
        <v>15292</v>
      </c>
      <c r="O76" s="15"/>
      <c r="P76" s="6">
        <v>168215</v>
      </c>
    </row>
    <row r="77" spans="1:16" x14ac:dyDescent="0.3">
      <c r="A77" s="14" t="s">
        <v>44</v>
      </c>
      <c r="B77" s="14"/>
      <c r="C77" s="14" t="s">
        <v>64</v>
      </c>
      <c r="D77" s="14"/>
      <c r="E77" s="14"/>
      <c r="F77" s="4" t="s">
        <v>32</v>
      </c>
      <c r="G77" s="4" t="s">
        <v>33</v>
      </c>
      <c r="H77" s="5">
        <v>83</v>
      </c>
      <c r="I77" s="15">
        <v>1979</v>
      </c>
      <c r="J77" s="15"/>
      <c r="K77" s="15"/>
      <c r="L77" s="15">
        <v>149325</v>
      </c>
      <c r="M77" s="15"/>
      <c r="N77" s="15">
        <v>14932</v>
      </c>
      <c r="O77" s="15"/>
      <c r="P77" s="6">
        <v>164257</v>
      </c>
    </row>
    <row r="78" spans="1:16" x14ac:dyDescent="0.3">
      <c r="A78" s="14" t="s">
        <v>44</v>
      </c>
      <c r="B78" s="14"/>
      <c r="C78" s="14" t="s">
        <v>59</v>
      </c>
      <c r="D78" s="14"/>
      <c r="E78" s="14"/>
      <c r="F78" s="4" t="s">
        <v>32</v>
      </c>
      <c r="G78" s="4" t="s">
        <v>33</v>
      </c>
      <c r="H78" s="5">
        <v>85</v>
      </c>
      <c r="I78" s="15">
        <v>1979</v>
      </c>
      <c r="J78" s="15"/>
      <c r="K78" s="15"/>
      <c r="L78" s="15">
        <v>152923</v>
      </c>
      <c r="M78" s="15"/>
      <c r="N78" s="15">
        <v>15292</v>
      </c>
      <c r="O78" s="15"/>
      <c r="P78" s="6">
        <v>168215</v>
      </c>
    </row>
    <row r="79" spans="1:16" x14ac:dyDescent="0.3">
      <c r="A79" s="14" t="s">
        <v>44</v>
      </c>
      <c r="B79" s="14"/>
      <c r="C79" s="14" t="s">
        <v>60</v>
      </c>
      <c r="D79" s="14"/>
      <c r="E79" s="14"/>
      <c r="F79" s="4" t="s">
        <v>32</v>
      </c>
      <c r="G79" s="4" t="s">
        <v>33</v>
      </c>
      <c r="H79" s="5">
        <v>108</v>
      </c>
      <c r="I79" s="15">
        <v>1979</v>
      </c>
      <c r="J79" s="15"/>
      <c r="K79" s="15"/>
      <c r="L79" s="15">
        <v>194302</v>
      </c>
      <c r="M79" s="15"/>
      <c r="N79" s="15">
        <v>19430</v>
      </c>
      <c r="O79" s="15"/>
      <c r="P79" s="6">
        <v>213732</v>
      </c>
    </row>
    <row r="80" spans="1:16" x14ac:dyDescent="0.3">
      <c r="A80" s="14" t="s">
        <v>44</v>
      </c>
      <c r="B80" s="14"/>
      <c r="C80" s="14" t="s">
        <v>57</v>
      </c>
      <c r="D80" s="14"/>
      <c r="E80" s="14"/>
      <c r="F80" s="4" t="s">
        <v>32</v>
      </c>
      <c r="G80" s="4" t="s">
        <v>33</v>
      </c>
      <c r="H80" s="5">
        <v>70</v>
      </c>
      <c r="I80" s="15">
        <v>1979</v>
      </c>
      <c r="J80" s="15"/>
      <c r="K80" s="15"/>
      <c r="L80" s="15">
        <v>125936</v>
      </c>
      <c r="M80" s="15"/>
      <c r="N80" s="15">
        <v>12594</v>
      </c>
      <c r="O80" s="15"/>
      <c r="P80" s="6">
        <v>138530</v>
      </c>
    </row>
    <row r="81" spans="1:16" x14ac:dyDescent="0.3">
      <c r="A81" s="14" t="s">
        <v>44</v>
      </c>
      <c r="B81" s="14"/>
      <c r="C81" s="14" t="s">
        <v>61</v>
      </c>
      <c r="D81" s="14"/>
      <c r="E81" s="14"/>
      <c r="F81" s="4" t="s">
        <v>32</v>
      </c>
      <c r="G81" s="4" t="s">
        <v>33</v>
      </c>
      <c r="H81" s="5">
        <v>73</v>
      </c>
      <c r="I81" s="15">
        <v>1979</v>
      </c>
      <c r="J81" s="15"/>
      <c r="K81" s="15"/>
      <c r="L81" s="15">
        <v>131334</v>
      </c>
      <c r="M81" s="15"/>
      <c r="N81" s="15">
        <v>13133</v>
      </c>
      <c r="O81" s="15"/>
      <c r="P81" s="6">
        <v>144467</v>
      </c>
    </row>
    <row r="82" spans="1:16" x14ac:dyDescent="0.3">
      <c r="A82" s="14" t="s">
        <v>44</v>
      </c>
      <c r="B82" s="14"/>
      <c r="C82" s="14" t="s">
        <v>59</v>
      </c>
      <c r="D82" s="14"/>
      <c r="E82" s="14"/>
      <c r="F82" s="4" t="s">
        <v>32</v>
      </c>
      <c r="G82" s="4" t="s">
        <v>33</v>
      </c>
      <c r="H82" s="5">
        <v>58</v>
      </c>
      <c r="I82" s="15">
        <v>1979</v>
      </c>
      <c r="J82" s="15"/>
      <c r="K82" s="15"/>
      <c r="L82" s="15">
        <v>104347</v>
      </c>
      <c r="M82" s="15"/>
      <c r="N82" s="15">
        <v>10435</v>
      </c>
      <c r="O82" s="15"/>
      <c r="P82" s="6">
        <v>114782</v>
      </c>
    </row>
    <row r="83" spans="1:16" x14ac:dyDescent="0.3">
      <c r="A83" s="14" t="s">
        <v>45</v>
      </c>
      <c r="B83" s="14"/>
      <c r="C83" s="14" t="s">
        <v>31</v>
      </c>
      <c r="D83" s="14"/>
      <c r="E83" s="14"/>
      <c r="F83" s="4" t="s">
        <v>32</v>
      </c>
      <c r="G83" s="4" t="s">
        <v>33</v>
      </c>
      <c r="H83" s="5">
        <v>54</v>
      </c>
      <c r="I83" s="15">
        <v>1979</v>
      </c>
      <c r="J83" s="15"/>
      <c r="K83" s="15"/>
      <c r="L83" s="15">
        <v>97151</v>
      </c>
      <c r="M83" s="15"/>
      <c r="N83" s="15">
        <v>9715</v>
      </c>
      <c r="O83" s="15"/>
      <c r="P83" s="6">
        <v>106866</v>
      </c>
    </row>
    <row r="84" spans="1:16" x14ac:dyDescent="0.3">
      <c r="A84" s="14" t="s">
        <v>45</v>
      </c>
      <c r="B84" s="14"/>
      <c r="C84" s="14" t="s">
        <v>34</v>
      </c>
      <c r="D84" s="14"/>
      <c r="E84" s="14"/>
      <c r="F84" s="4" t="s">
        <v>32</v>
      </c>
      <c r="G84" s="4" t="s">
        <v>33</v>
      </c>
      <c r="H84" s="5">
        <v>24</v>
      </c>
      <c r="I84" s="15">
        <v>1979</v>
      </c>
      <c r="J84" s="15"/>
      <c r="K84" s="15"/>
      <c r="L84" s="15">
        <v>43178</v>
      </c>
      <c r="M84" s="15"/>
      <c r="N84" s="15">
        <v>4318</v>
      </c>
      <c r="O84" s="15"/>
      <c r="P84" s="6">
        <v>47496</v>
      </c>
    </row>
    <row r="85" spans="1:16" x14ac:dyDescent="0.3">
      <c r="A85" s="14" t="s">
        <v>45</v>
      </c>
      <c r="B85" s="14"/>
      <c r="C85" s="14" t="s">
        <v>35</v>
      </c>
      <c r="D85" s="14"/>
      <c r="E85" s="14"/>
      <c r="F85" s="4" t="s">
        <v>32</v>
      </c>
      <c r="G85" s="4" t="s">
        <v>33</v>
      </c>
      <c r="H85" s="5">
        <v>33</v>
      </c>
      <c r="I85" s="15">
        <v>1979</v>
      </c>
      <c r="J85" s="15"/>
      <c r="K85" s="15"/>
      <c r="L85" s="15">
        <v>59370</v>
      </c>
      <c r="M85" s="15"/>
      <c r="N85" s="15">
        <v>5937</v>
      </c>
      <c r="O85" s="15"/>
      <c r="P85" s="6">
        <v>65307</v>
      </c>
    </row>
    <row r="86" spans="1:16" x14ac:dyDescent="0.3">
      <c r="A86" s="14" t="s">
        <v>45</v>
      </c>
      <c r="B86" s="14"/>
      <c r="C86" s="14" t="s">
        <v>36</v>
      </c>
      <c r="D86" s="14"/>
      <c r="E86" s="14"/>
      <c r="F86" s="4" t="s">
        <v>32</v>
      </c>
      <c r="G86" s="4" t="s">
        <v>33</v>
      </c>
      <c r="H86" s="5">
        <v>12</v>
      </c>
      <c r="I86" s="15">
        <v>1979</v>
      </c>
      <c r="J86" s="15"/>
      <c r="K86" s="15"/>
      <c r="L86" s="15">
        <v>21589</v>
      </c>
      <c r="M86" s="15"/>
      <c r="N86" s="15">
        <v>2159</v>
      </c>
      <c r="O86" s="15"/>
      <c r="P86" s="6">
        <v>23748</v>
      </c>
    </row>
    <row r="87" spans="1:16" x14ac:dyDescent="0.3">
      <c r="A87" s="14" t="s">
        <v>45</v>
      </c>
      <c r="B87" s="14"/>
      <c r="C87" s="14" t="s">
        <v>37</v>
      </c>
      <c r="D87" s="14"/>
      <c r="E87" s="14"/>
      <c r="F87" s="4" t="s">
        <v>32</v>
      </c>
      <c r="G87" s="4" t="s">
        <v>33</v>
      </c>
      <c r="H87" s="5">
        <v>28</v>
      </c>
      <c r="I87" s="15">
        <v>1979</v>
      </c>
      <c r="J87" s="15"/>
      <c r="K87" s="15"/>
      <c r="L87" s="15">
        <v>50375</v>
      </c>
      <c r="M87" s="15"/>
      <c r="N87" s="15">
        <v>5037</v>
      </c>
      <c r="O87" s="15"/>
      <c r="P87" s="6">
        <v>55412</v>
      </c>
    </row>
    <row r="88" spans="1:16" x14ac:dyDescent="0.3">
      <c r="A88" s="14" t="s">
        <v>45</v>
      </c>
      <c r="B88" s="14"/>
      <c r="C88" s="14" t="s">
        <v>38</v>
      </c>
      <c r="D88" s="14"/>
      <c r="E88" s="14"/>
      <c r="F88" s="4" t="s">
        <v>32</v>
      </c>
      <c r="G88" s="4" t="s">
        <v>33</v>
      </c>
      <c r="H88" s="5">
        <v>34</v>
      </c>
      <c r="I88" s="15">
        <v>1979</v>
      </c>
      <c r="J88" s="15"/>
      <c r="K88" s="15"/>
      <c r="L88" s="15">
        <v>61169</v>
      </c>
      <c r="M88" s="15"/>
      <c r="N88" s="15">
        <v>6117</v>
      </c>
      <c r="O88" s="15"/>
      <c r="P88" s="6">
        <v>67286</v>
      </c>
    </row>
    <row r="89" spans="1:16" x14ac:dyDescent="0.3">
      <c r="A89" s="14" t="s">
        <v>45</v>
      </c>
      <c r="B89" s="14"/>
      <c r="C89" s="14" t="s">
        <v>62</v>
      </c>
      <c r="D89" s="14"/>
      <c r="E89" s="14"/>
      <c r="F89" s="4" t="s">
        <v>32</v>
      </c>
      <c r="G89" s="4" t="s">
        <v>33</v>
      </c>
      <c r="H89" s="5">
        <v>108</v>
      </c>
      <c r="I89" s="15">
        <v>1979</v>
      </c>
      <c r="J89" s="15"/>
      <c r="K89" s="15"/>
      <c r="L89" s="15">
        <v>194302</v>
      </c>
      <c r="M89" s="15"/>
      <c r="N89" s="15">
        <v>19430</v>
      </c>
      <c r="O89" s="15"/>
      <c r="P89" s="6">
        <v>213732</v>
      </c>
    </row>
    <row r="90" spans="1:16" x14ac:dyDescent="0.3">
      <c r="A90" s="14" t="s">
        <v>45</v>
      </c>
      <c r="B90" s="14"/>
      <c r="C90" s="14" t="s">
        <v>63</v>
      </c>
      <c r="D90" s="14"/>
      <c r="E90" s="14"/>
      <c r="F90" s="4" t="s">
        <v>32</v>
      </c>
      <c r="G90" s="4" t="s">
        <v>33</v>
      </c>
      <c r="H90" s="5">
        <v>74</v>
      </c>
      <c r="I90" s="15">
        <v>1979</v>
      </c>
      <c r="J90" s="15"/>
      <c r="K90" s="15"/>
      <c r="L90" s="15">
        <v>133133</v>
      </c>
      <c r="M90" s="15"/>
      <c r="N90" s="15">
        <v>13313</v>
      </c>
      <c r="O90" s="15"/>
      <c r="P90" s="6">
        <v>146446</v>
      </c>
    </row>
    <row r="91" spans="1:16" x14ac:dyDescent="0.3">
      <c r="A91" s="14" t="s">
        <v>45</v>
      </c>
      <c r="B91" s="14"/>
      <c r="C91" s="14" t="s">
        <v>66</v>
      </c>
      <c r="D91" s="14"/>
      <c r="E91" s="14"/>
      <c r="F91" s="4" t="s">
        <v>32</v>
      </c>
      <c r="G91" s="4" t="s">
        <v>33</v>
      </c>
      <c r="H91" s="5">
        <v>127</v>
      </c>
      <c r="I91" s="15">
        <v>1979</v>
      </c>
      <c r="J91" s="15"/>
      <c r="K91" s="15"/>
      <c r="L91" s="15">
        <v>228485</v>
      </c>
      <c r="M91" s="15"/>
      <c r="N91" s="15">
        <v>22848</v>
      </c>
      <c r="O91" s="15"/>
      <c r="P91" s="6">
        <v>251333</v>
      </c>
    </row>
    <row r="92" spans="1:16" x14ac:dyDescent="0.3">
      <c r="A92" s="14" t="s">
        <v>45</v>
      </c>
      <c r="B92" s="14"/>
      <c r="C92" s="14" t="s">
        <v>67</v>
      </c>
      <c r="D92" s="14"/>
      <c r="E92" s="14"/>
      <c r="F92" s="4" t="s">
        <v>32</v>
      </c>
      <c r="G92" s="4" t="s">
        <v>33</v>
      </c>
      <c r="H92" s="5">
        <v>53</v>
      </c>
      <c r="I92" s="15">
        <v>1979</v>
      </c>
      <c r="J92" s="15"/>
      <c r="K92" s="15"/>
      <c r="L92" s="15">
        <v>95352</v>
      </c>
      <c r="M92" s="15"/>
      <c r="N92" s="15">
        <v>9535</v>
      </c>
      <c r="O92" s="15"/>
      <c r="P92" s="6">
        <v>104887</v>
      </c>
    </row>
    <row r="93" spans="1:16" x14ac:dyDescent="0.3">
      <c r="A93" s="14" t="s">
        <v>46</v>
      </c>
      <c r="B93" s="14"/>
      <c r="C93" s="14" t="s">
        <v>64</v>
      </c>
      <c r="D93" s="14"/>
      <c r="E93" s="14"/>
      <c r="F93" s="4" t="s">
        <v>32</v>
      </c>
      <c r="G93" s="4" t="s">
        <v>33</v>
      </c>
      <c r="H93" s="5">
        <v>80</v>
      </c>
      <c r="I93" s="15">
        <v>1979</v>
      </c>
      <c r="J93" s="15"/>
      <c r="K93" s="15"/>
      <c r="L93" s="15">
        <v>143927</v>
      </c>
      <c r="M93" s="15"/>
      <c r="N93" s="15">
        <v>14393</v>
      </c>
      <c r="O93" s="15"/>
      <c r="P93" s="6">
        <v>158320</v>
      </c>
    </row>
    <row r="94" spans="1:16" x14ac:dyDescent="0.3">
      <c r="A94" s="14" t="s">
        <v>46</v>
      </c>
      <c r="B94" s="14"/>
      <c r="C94" s="14" t="s">
        <v>61</v>
      </c>
      <c r="D94" s="14"/>
      <c r="E94" s="14"/>
      <c r="F94" s="4" t="s">
        <v>32</v>
      </c>
      <c r="G94" s="4" t="s">
        <v>33</v>
      </c>
      <c r="H94" s="5">
        <v>77</v>
      </c>
      <c r="I94" s="15">
        <v>1979</v>
      </c>
      <c r="J94" s="15"/>
      <c r="K94" s="15"/>
      <c r="L94" s="15">
        <v>138530</v>
      </c>
      <c r="M94" s="15"/>
      <c r="N94" s="15">
        <v>13853</v>
      </c>
      <c r="O94" s="15"/>
      <c r="P94" s="6">
        <v>152383</v>
      </c>
    </row>
    <row r="95" spans="1:16" x14ac:dyDescent="0.3">
      <c r="A95" s="14" t="s">
        <v>47</v>
      </c>
      <c r="B95" s="14"/>
      <c r="C95" s="14" t="s">
        <v>34</v>
      </c>
      <c r="D95" s="14"/>
      <c r="E95" s="14"/>
      <c r="F95" s="4" t="s">
        <v>32</v>
      </c>
      <c r="G95" s="4" t="s">
        <v>33</v>
      </c>
      <c r="H95" s="5">
        <v>65</v>
      </c>
      <c r="I95" s="15">
        <v>1979</v>
      </c>
      <c r="J95" s="15"/>
      <c r="K95" s="15"/>
      <c r="L95" s="15">
        <v>116941</v>
      </c>
      <c r="M95" s="15"/>
      <c r="N95" s="15">
        <v>11694</v>
      </c>
      <c r="O95" s="15"/>
      <c r="P95" s="6">
        <v>128635</v>
      </c>
    </row>
    <row r="96" spans="1:16" x14ac:dyDescent="0.3">
      <c r="A96" s="14" t="s">
        <v>47</v>
      </c>
      <c r="B96" s="14"/>
      <c r="C96" s="14" t="s">
        <v>31</v>
      </c>
      <c r="D96" s="14"/>
      <c r="E96" s="14"/>
      <c r="F96" s="4" t="s">
        <v>32</v>
      </c>
      <c r="G96" s="4" t="s">
        <v>33</v>
      </c>
      <c r="H96" s="5">
        <v>91</v>
      </c>
      <c r="I96" s="15">
        <v>1979</v>
      </c>
      <c r="J96" s="15"/>
      <c r="K96" s="15"/>
      <c r="L96" s="15">
        <v>163717</v>
      </c>
      <c r="M96" s="15"/>
      <c r="N96" s="15">
        <v>16372</v>
      </c>
      <c r="O96" s="15"/>
      <c r="P96" s="6">
        <v>180089</v>
      </c>
    </row>
    <row r="97" spans="1:16" x14ac:dyDescent="0.3">
      <c r="A97" s="14" t="s">
        <v>47</v>
      </c>
      <c r="B97" s="14"/>
      <c r="C97" s="14" t="s">
        <v>38</v>
      </c>
      <c r="D97" s="14"/>
      <c r="E97" s="14"/>
      <c r="F97" s="4" t="s">
        <v>32</v>
      </c>
      <c r="G97" s="4" t="s">
        <v>33</v>
      </c>
      <c r="H97" s="5">
        <v>64</v>
      </c>
      <c r="I97" s="15">
        <v>1979</v>
      </c>
      <c r="J97" s="15"/>
      <c r="K97" s="15"/>
      <c r="L97" s="15">
        <v>115142</v>
      </c>
      <c r="M97" s="15"/>
      <c r="N97" s="15">
        <v>11514</v>
      </c>
      <c r="O97" s="15"/>
      <c r="P97" s="6">
        <v>126656</v>
      </c>
    </row>
    <row r="98" spans="1:16" x14ac:dyDescent="0.3">
      <c r="A98" s="14" t="s">
        <v>47</v>
      </c>
      <c r="B98" s="14"/>
      <c r="C98" s="14" t="s">
        <v>37</v>
      </c>
      <c r="D98" s="14"/>
      <c r="E98" s="14"/>
      <c r="F98" s="4" t="s">
        <v>32</v>
      </c>
      <c r="G98" s="4" t="s">
        <v>33</v>
      </c>
      <c r="H98" s="5">
        <v>28</v>
      </c>
      <c r="I98" s="15">
        <v>1979</v>
      </c>
      <c r="J98" s="15"/>
      <c r="K98" s="15"/>
      <c r="L98" s="15">
        <v>50375</v>
      </c>
      <c r="M98" s="15"/>
      <c r="N98" s="15">
        <v>5037</v>
      </c>
      <c r="O98" s="15"/>
      <c r="P98" s="6">
        <v>55412</v>
      </c>
    </row>
    <row r="99" spans="1:16" x14ac:dyDescent="0.3">
      <c r="A99" s="14" t="s">
        <v>47</v>
      </c>
      <c r="B99" s="14"/>
      <c r="C99" s="14" t="s">
        <v>36</v>
      </c>
      <c r="D99" s="14"/>
      <c r="E99" s="14"/>
      <c r="F99" s="4" t="s">
        <v>32</v>
      </c>
      <c r="G99" s="4" t="s">
        <v>33</v>
      </c>
      <c r="H99" s="5">
        <v>11</v>
      </c>
      <c r="I99" s="15">
        <v>1979</v>
      </c>
      <c r="J99" s="15"/>
      <c r="K99" s="15"/>
      <c r="L99" s="15">
        <v>19790</v>
      </c>
      <c r="M99" s="15"/>
      <c r="N99" s="15">
        <v>1979</v>
      </c>
      <c r="O99" s="15"/>
      <c r="P99" s="6">
        <v>21769</v>
      </c>
    </row>
    <row r="100" spans="1:16" x14ac:dyDescent="0.3">
      <c r="A100" s="14" t="s">
        <v>47</v>
      </c>
      <c r="B100" s="14"/>
      <c r="C100" s="14" t="s">
        <v>35</v>
      </c>
      <c r="D100" s="14"/>
      <c r="E100" s="14"/>
      <c r="F100" s="4" t="s">
        <v>32</v>
      </c>
      <c r="G100" s="4" t="s">
        <v>33</v>
      </c>
      <c r="H100" s="5">
        <v>74</v>
      </c>
      <c r="I100" s="15">
        <v>1979</v>
      </c>
      <c r="J100" s="15"/>
      <c r="K100" s="15"/>
      <c r="L100" s="15">
        <v>133133</v>
      </c>
      <c r="M100" s="15"/>
      <c r="N100" s="15">
        <v>13313</v>
      </c>
      <c r="O100" s="15"/>
      <c r="P100" s="6">
        <v>146446</v>
      </c>
    </row>
    <row r="101" spans="1:16" x14ac:dyDescent="0.3">
      <c r="A101" s="14" t="s">
        <v>47</v>
      </c>
      <c r="B101" s="14"/>
      <c r="C101" s="14" t="s">
        <v>59</v>
      </c>
      <c r="D101" s="14"/>
      <c r="E101" s="14"/>
      <c r="F101" s="4" t="s">
        <v>32</v>
      </c>
      <c r="G101" s="4" t="s">
        <v>33</v>
      </c>
      <c r="H101" s="5">
        <v>58</v>
      </c>
      <c r="I101" s="15">
        <v>1979</v>
      </c>
      <c r="J101" s="15"/>
      <c r="K101" s="15"/>
      <c r="L101" s="15">
        <v>104347</v>
      </c>
      <c r="M101" s="15"/>
      <c r="N101" s="15">
        <v>10435</v>
      </c>
      <c r="O101" s="15"/>
      <c r="P101" s="6">
        <v>114782</v>
      </c>
    </row>
    <row r="102" spans="1:16" x14ac:dyDescent="0.3">
      <c r="A102" s="14" t="s">
        <v>47</v>
      </c>
      <c r="B102" s="14"/>
      <c r="C102" s="14" t="s">
        <v>60</v>
      </c>
      <c r="D102" s="14"/>
      <c r="E102" s="14"/>
      <c r="F102" s="4" t="s">
        <v>32</v>
      </c>
      <c r="G102" s="4" t="s">
        <v>33</v>
      </c>
      <c r="H102" s="5">
        <v>97</v>
      </c>
      <c r="I102" s="15">
        <v>1979</v>
      </c>
      <c r="J102" s="15"/>
      <c r="K102" s="15"/>
      <c r="L102" s="15">
        <v>174512</v>
      </c>
      <c r="M102" s="15"/>
      <c r="N102" s="15">
        <v>17451</v>
      </c>
      <c r="O102" s="15"/>
      <c r="P102" s="6">
        <v>191963</v>
      </c>
    </row>
    <row r="103" spans="1:16" x14ac:dyDescent="0.3">
      <c r="A103" s="14" t="s">
        <v>47</v>
      </c>
      <c r="B103" s="14"/>
      <c r="C103" s="14" t="s">
        <v>66</v>
      </c>
      <c r="D103" s="14"/>
      <c r="E103" s="14"/>
      <c r="F103" s="4" t="s">
        <v>32</v>
      </c>
      <c r="G103" s="4" t="s">
        <v>33</v>
      </c>
      <c r="H103" s="5">
        <v>167</v>
      </c>
      <c r="I103" s="15">
        <v>1979</v>
      </c>
      <c r="J103" s="15"/>
      <c r="K103" s="15"/>
      <c r="L103" s="15">
        <v>300448</v>
      </c>
      <c r="M103" s="15"/>
      <c r="N103" s="15">
        <v>30045</v>
      </c>
      <c r="O103" s="15"/>
      <c r="P103" s="6">
        <v>330493</v>
      </c>
    </row>
    <row r="104" spans="1:16" x14ac:dyDescent="0.3">
      <c r="A104" s="14" t="s">
        <v>74</v>
      </c>
      <c r="B104" s="14"/>
      <c r="C104" s="14" t="s">
        <v>57</v>
      </c>
      <c r="D104" s="14"/>
      <c r="E104" s="14"/>
      <c r="F104" s="4" t="s">
        <v>32</v>
      </c>
      <c r="G104" s="4" t="s">
        <v>33</v>
      </c>
      <c r="H104" s="5">
        <v>121</v>
      </c>
      <c r="I104" s="15">
        <v>1979</v>
      </c>
      <c r="J104" s="15"/>
      <c r="K104" s="15"/>
      <c r="L104" s="15">
        <v>217690</v>
      </c>
      <c r="M104" s="15"/>
      <c r="N104" s="15">
        <v>21769</v>
      </c>
      <c r="O104" s="15"/>
      <c r="P104" s="6">
        <v>239459</v>
      </c>
    </row>
    <row r="105" spans="1:16" x14ac:dyDescent="0.3">
      <c r="A105" s="14" t="s">
        <v>74</v>
      </c>
      <c r="B105" s="14"/>
      <c r="C105" s="14" t="s">
        <v>64</v>
      </c>
      <c r="D105" s="14"/>
      <c r="E105" s="14"/>
      <c r="F105" s="4" t="s">
        <v>32</v>
      </c>
      <c r="G105" s="4" t="s">
        <v>33</v>
      </c>
      <c r="H105" s="5">
        <v>79</v>
      </c>
      <c r="I105" s="15">
        <v>1979</v>
      </c>
      <c r="J105" s="15"/>
      <c r="K105" s="15"/>
      <c r="L105" s="15">
        <v>142128</v>
      </c>
      <c r="M105" s="15"/>
      <c r="N105" s="15">
        <v>14213</v>
      </c>
      <c r="O105" s="15"/>
      <c r="P105" s="6">
        <v>156341</v>
      </c>
    </row>
    <row r="106" spans="1:16" x14ac:dyDescent="0.3">
      <c r="A106" s="14" t="s">
        <v>74</v>
      </c>
      <c r="B106" s="14"/>
      <c r="C106" s="14" t="s">
        <v>62</v>
      </c>
      <c r="D106" s="14"/>
      <c r="E106" s="14"/>
      <c r="F106" s="4" t="s">
        <v>32</v>
      </c>
      <c r="G106" s="4" t="s">
        <v>33</v>
      </c>
      <c r="H106" s="5">
        <v>105</v>
      </c>
      <c r="I106" s="15">
        <v>1979</v>
      </c>
      <c r="J106" s="15"/>
      <c r="K106" s="15"/>
      <c r="L106" s="15">
        <v>188905</v>
      </c>
      <c r="M106" s="15"/>
      <c r="N106" s="15">
        <v>18890</v>
      </c>
      <c r="O106" s="15"/>
      <c r="P106" s="6">
        <v>207795</v>
      </c>
    </row>
    <row r="107" spans="1:16" x14ac:dyDescent="0.3">
      <c r="A107" s="14" t="s">
        <v>74</v>
      </c>
      <c r="B107" s="14"/>
      <c r="C107" s="14" t="s">
        <v>55</v>
      </c>
      <c r="D107" s="14"/>
      <c r="E107" s="14"/>
      <c r="F107" s="4" t="s">
        <v>32</v>
      </c>
      <c r="G107" s="4" t="s">
        <v>33</v>
      </c>
      <c r="H107" s="5">
        <v>59</v>
      </c>
      <c r="I107" s="15">
        <v>1979</v>
      </c>
      <c r="J107" s="15"/>
      <c r="K107" s="15"/>
      <c r="L107" s="15">
        <v>106146</v>
      </c>
      <c r="M107" s="15"/>
      <c r="N107" s="15">
        <v>10615</v>
      </c>
      <c r="O107" s="15"/>
      <c r="P107" s="6">
        <v>116761</v>
      </c>
    </row>
    <row r="108" spans="1:16" x14ac:dyDescent="0.3">
      <c r="A108" s="14" t="s">
        <v>74</v>
      </c>
      <c r="B108" s="14"/>
      <c r="C108" s="14" t="s">
        <v>61</v>
      </c>
      <c r="D108" s="14"/>
      <c r="E108" s="14"/>
      <c r="F108" s="4" t="s">
        <v>32</v>
      </c>
      <c r="G108" s="4" t="s">
        <v>33</v>
      </c>
      <c r="H108" s="5">
        <v>78</v>
      </c>
      <c r="I108" s="15">
        <v>1979</v>
      </c>
      <c r="J108" s="15"/>
      <c r="K108" s="15"/>
      <c r="L108" s="15">
        <v>140329</v>
      </c>
      <c r="M108" s="15"/>
      <c r="N108" s="15">
        <v>14033</v>
      </c>
      <c r="O108" s="15"/>
      <c r="P108" s="6">
        <v>154362</v>
      </c>
    </row>
    <row r="109" spans="1:16" x14ac:dyDescent="0.3">
      <c r="A109" s="14" t="s">
        <v>74</v>
      </c>
      <c r="B109" s="14"/>
      <c r="C109" s="14" t="s">
        <v>59</v>
      </c>
      <c r="D109" s="14"/>
      <c r="E109" s="14"/>
      <c r="F109" s="4" t="s">
        <v>32</v>
      </c>
      <c r="G109" s="4" t="s">
        <v>33</v>
      </c>
      <c r="H109" s="5">
        <v>97</v>
      </c>
      <c r="I109" s="15">
        <v>1979</v>
      </c>
      <c r="J109" s="15"/>
      <c r="K109" s="15"/>
      <c r="L109" s="15">
        <v>174512</v>
      </c>
      <c r="M109" s="15"/>
      <c r="N109" s="15">
        <v>17451</v>
      </c>
      <c r="O109" s="15"/>
      <c r="P109" s="6">
        <v>191963</v>
      </c>
    </row>
    <row r="110" spans="1:16" x14ac:dyDescent="0.3">
      <c r="A110" s="14" t="s">
        <v>48</v>
      </c>
      <c r="B110" s="14"/>
      <c r="C110" s="14" t="s">
        <v>43</v>
      </c>
      <c r="D110" s="14"/>
      <c r="E110" s="14"/>
      <c r="F110" s="4" t="s">
        <v>32</v>
      </c>
      <c r="G110" s="4" t="s">
        <v>33</v>
      </c>
      <c r="H110" s="5">
        <v>31</v>
      </c>
      <c r="I110" s="15">
        <v>1979</v>
      </c>
      <c r="J110" s="15"/>
      <c r="K110" s="15"/>
      <c r="L110" s="15">
        <v>55772</v>
      </c>
      <c r="M110" s="15"/>
      <c r="N110" s="15">
        <v>5577</v>
      </c>
      <c r="O110" s="15"/>
      <c r="P110" s="6">
        <v>61349</v>
      </c>
    </row>
    <row r="111" spans="1:16" x14ac:dyDescent="0.3">
      <c r="A111" s="14" t="s">
        <v>48</v>
      </c>
      <c r="B111" s="14"/>
      <c r="C111" s="14" t="s">
        <v>31</v>
      </c>
      <c r="D111" s="14"/>
      <c r="E111" s="14"/>
      <c r="F111" s="4" t="s">
        <v>32</v>
      </c>
      <c r="G111" s="4" t="s">
        <v>33</v>
      </c>
      <c r="H111" s="5">
        <v>76</v>
      </c>
      <c r="I111" s="15">
        <v>1979</v>
      </c>
      <c r="J111" s="15"/>
      <c r="K111" s="15"/>
      <c r="L111" s="15">
        <v>136731</v>
      </c>
      <c r="M111" s="15"/>
      <c r="N111" s="15">
        <v>13673</v>
      </c>
      <c r="O111" s="15"/>
      <c r="P111" s="6">
        <v>150404</v>
      </c>
    </row>
    <row r="112" spans="1:16" x14ac:dyDescent="0.3">
      <c r="A112" s="14" t="s">
        <v>48</v>
      </c>
      <c r="B112" s="14"/>
      <c r="C112" s="14" t="s">
        <v>38</v>
      </c>
      <c r="D112" s="14"/>
      <c r="E112" s="14"/>
      <c r="F112" s="4" t="s">
        <v>32</v>
      </c>
      <c r="G112" s="4" t="s">
        <v>33</v>
      </c>
      <c r="H112" s="5">
        <v>55</v>
      </c>
      <c r="I112" s="15">
        <v>1979</v>
      </c>
      <c r="J112" s="15"/>
      <c r="K112" s="15"/>
      <c r="L112" s="15">
        <v>98950</v>
      </c>
      <c r="M112" s="15"/>
      <c r="N112" s="15">
        <v>9895</v>
      </c>
      <c r="O112" s="15"/>
      <c r="P112" s="6">
        <v>108845</v>
      </c>
    </row>
    <row r="113" spans="1:16" x14ac:dyDescent="0.3">
      <c r="A113" s="14" t="s">
        <v>48</v>
      </c>
      <c r="B113" s="14"/>
      <c r="C113" s="14" t="s">
        <v>37</v>
      </c>
      <c r="D113" s="14"/>
      <c r="E113" s="14"/>
      <c r="F113" s="4" t="s">
        <v>32</v>
      </c>
      <c r="G113" s="4" t="s">
        <v>33</v>
      </c>
      <c r="H113" s="5">
        <v>38</v>
      </c>
      <c r="I113" s="15">
        <v>1979</v>
      </c>
      <c r="J113" s="15"/>
      <c r="K113" s="15"/>
      <c r="L113" s="15">
        <v>68365</v>
      </c>
      <c r="M113" s="15"/>
      <c r="N113" s="15">
        <v>6837</v>
      </c>
      <c r="O113" s="15"/>
      <c r="P113" s="6">
        <v>75202</v>
      </c>
    </row>
    <row r="114" spans="1:16" x14ac:dyDescent="0.3">
      <c r="A114" s="14" t="s">
        <v>48</v>
      </c>
      <c r="B114" s="14"/>
      <c r="C114" s="14" t="s">
        <v>36</v>
      </c>
      <c r="D114" s="14"/>
      <c r="E114" s="14"/>
      <c r="F114" s="4" t="s">
        <v>32</v>
      </c>
      <c r="G114" s="4" t="s">
        <v>33</v>
      </c>
      <c r="H114" s="5">
        <v>12</v>
      </c>
      <c r="I114" s="15">
        <v>1979</v>
      </c>
      <c r="J114" s="15"/>
      <c r="K114" s="15"/>
      <c r="L114" s="15">
        <v>21589</v>
      </c>
      <c r="M114" s="15"/>
      <c r="N114" s="15">
        <v>2159</v>
      </c>
      <c r="O114" s="15"/>
      <c r="P114" s="6">
        <v>23748</v>
      </c>
    </row>
    <row r="115" spans="1:16" x14ac:dyDescent="0.3">
      <c r="A115" s="14" t="s">
        <v>48</v>
      </c>
      <c r="B115" s="14"/>
      <c r="C115" s="14" t="s">
        <v>35</v>
      </c>
      <c r="D115" s="14"/>
      <c r="E115" s="14"/>
      <c r="F115" s="4" t="s">
        <v>32</v>
      </c>
      <c r="G115" s="4" t="s">
        <v>33</v>
      </c>
      <c r="H115" s="5">
        <v>70</v>
      </c>
      <c r="I115" s="15">
        <v>1979</v>
      </c>
      <c r="J115" s="15"/>
      <c r="K115" s="15"/>
      <c r="L115" s="15">
        <v>125936</v>
      </c>
      <c r="M115" s="15"/>
      <c r="N115" s="15">
        <v>12594</v>
      </c>
      <c r="O115" s="15"/>
      <c r="P115" s="6">
        <v>138530</v>
      </c>
    </row>
    <row r="116" spans="1:16" x14ac:dyDescent="0.3">
      <c r="A116" s="14" t="s">
        <v>48</v>
      </c>
      <c r="B116" s="14"/>
      <c r="C116" s="14" t="s">
        <v>34</v>
      </c>
      <c r="D116" s="14"/>
      <c r="E116" s="14"/>
      <c r="F116" s="4" t="s">
        <v>32</v>
      </c>
      <c r="G116" s="4" t="s">
        <v>33</v>
      </c>
      <c r="H116" s="5">
        <v>54</v>
      </c>
      <c r="I116" s="15">
        <v>1979</v>
      </c>
      <c r="J116" s="15"/>
      <c r="K116" s="15"/>
      <c r="L116" s="15">
        <v>97151</v>
      </c>
      <c r="M116" s="15"/>
      <c r="N116" s="15">
        <v>9715</v>
      </c>
      <c r="O116" s="15"/>
      <c r="P116" s="6">
        <v>106866</v>
      </c>
    </row>
    <row r="117" spans="1:16" x14ac:dyDescent="0.3">
      <c r="A117" s="14" t="s">
        <v>48</v>
      </c>
      <c r="B117" s="14"/>
      <c r="C117" s="14" t="s">
        <v>52</v>
      </c>
      <c r="D117" s="14"/>
      <c r="E117" s="14"/>
      <c r="F117" s="4" t="s">
        <v>32</v>
      </c>
      <c r="G117" s="4" t="s">
        <v>33</v>
      </c>
      <c r="H117" s="5">
        <v>50</v>
      </c>
      <c r="I117" s="15">
        <v>1979</v>
      </c>
      <c r="J117" s="15"/>
      <c r="K117" s="15"/>
      <c r="L117" s="15">
        <v>89955</v>
      </c>
      <c r="M117" s="15"/>
      <c r="N117" s="15">
        <v>8995</v>
      </c>
      <c r="O117" s="15"/>
      <c r="P117" s="6">
        <v>98950</v>
      </c>
    </row>
    <row r="118" spans="1:16" x14ac:dyDescent="0.3">
      <c r="A118" s="14" t="s">
        <v>48</v>
      </c>
      <c r="B118" s="14"/>
      <c r="C118" s="14" t="s">
        <v>72</v>
      </c>
      <c r="D118" s="14"/>
      <c r="E118" s="14"/>
      <c r="F118" s="4" t="s">
        <v>32</v>
      </c>
      <c r="G118" s="4" t="s">
        <v>33</v>
      </c>
      <c r="H118" s="5">
        <v>50</v>
      </c>
      <c r="I118" s="15">
        <v>1979</v>
      </c>
      <c r="J118" s="15"/>
      <c r="K118" s="15"/>
      <c r="L118" s="15">
        <v>89955</v>
      </c>
      <c r="M118" s="15"/>
      <c r="N118" s="15">
        <v>8995</v>
      </c>
      <c r="O118" s="15"/>
      <c r="P118" s="6">
        <v>98950</v>
      </c>
    </row>
    <row r="119" spans="1:16" x14ac:dyDescent="0.3">
      <c r="A119" s="14" t="s">
        <v>48</v>
      </c>
      <c r="B119" s="14"/>
      <c r="C119" s="14" t="s">
        <v>64</v>
      </c>
      <c r="D119" s="14"/>
      <c r="E119" s="14"/>
      <c r="F119" s="4" t="s">
        <v>32</v>
      </c>
      <c r="G119" s="4" t="s">
        <v>33</v>
      </c>
      <c r="H119" s="5">
        <v>86</v>
      </c>
      <c r="I119" s="15">
        <v>1979</v>
      </c>
      <c r="J119" s="15"/>
      <c r="K119" s="15"/>
      <c r="L119" s="15">
        <v>154722</v>
      </c>
      <c r="M119" s="15"/>
      <c r="N119" s="15">
        <v>15472</v>
      </c>
      <c r="O119" s="15"/>
      <c r="P119" s="6">
        <v>170194</v>
      </c>
    </row>
    <row r="120" spans="1:16" x14ac:dyDescent="0.3">
      <c r="A120" s="14" t="s">
        <v>48</v>
      </c>
      <c r="B120" s="14"/>
      <c r="C120" s="14" t="s">
        <v>59</v>
      </c>
      <c r="D120" s="14"/>
      <c r="E120" s="14"/>
      <c r="F120" s="4" t="s">
        <v>32</v>
      </c>
      <c r="G120" s="4" t="s">
        <v>33</v>
      </c>
      <c r="H120" s="5">
        <v>59</v>
      </c>
      <c r="I120" s="15">
        <v>1979</v>
      </c>
      <c r="J120" s="15"/>
      <c r="K120" s="15"/>
      <c r="L120" s="15">
        <v>106146</v>
      </c>
      <c r="M120" s="15"/>
      <c r="N120" s="15">
        <v>10615</v>
      </c>
      <c r="O120" s="15"/>
      <c r="P120" s="6">
        <v>116761</v>
      </c>
    </row>
    <row r="121" spans="1:16" x14ac:dyDescent="0.3">
      <c r="A121" s="14" t="s">
        <v>77</v>
      </c>
      <c r="B121" s="14"/>
      <c r="C121" s="14" t="s">
        <v>43</v>
      </c>
      <c r="D121" s="14"/>
      <c r="E121" s="14"/>
      <c r="F121" s="4" t="s">
        <v>32</v>
      </c>
      <c r="G121" s="4" t="s">
        <v>33</v>
      </c>
      <c r="H121" s="5">
        <v>46</v>
      </c>
      <c r="I121" s="15">
        <v>1979</v>
      </c>
      <c r="J121" s="15"/>
      <c r="K121" s="15"/>
      <c r="L121" s="15">
        <v>82758</v>
      </c>
      <c r="M121" s="15"/>
      <c r="N121" s="15">
        <v>8276</v>
      </c>
      <c r="O121" s="15"/>
      <c r="P121" s="6">
        <v>91034</v>
      </c>
    </row>
    <row r="122" spans="1:16" x14ac:dyDescent="0.3">
      <c r="A122" s="14" t="s">
        <v>78</v>
      </c>
      <c r="B122" s="14"/>
      <c r="C122" s="14" t="s">
        <v>66</v>
      </c>
      <c r="D122" s="14"/>
      <c r="E122" s="14"/>
      <c r="F122" s="4" t="s">
        <v>32</v>
      </c>
      <c r="G122" s="4" t="s">
        <v>33</v>
      </c>
      <c r="H122" s="5">
        <v>160</v>
      </c>
      <c r="I122" s="15">
        <v>1979</v>
      </c>
      <c r="J122" s="15"/>
      <c r="K122" s="15"/>
      <c r="L122" s="15">
        <v>287855</v>
      </c>
      <c r="M122" s="15"/>
      <c r="N122" s="15">
        <v>28785</v>
      </c>
      <c r="O122" s="15"/>
      <c r="P122" s="6">
        <v>316640</v>
      </c>
    </row>
    <row r="123" spans="1:16" x14ac:dyDescent="0.3">
      <c r="A123" s="14" t="s">
        <v>78</v>
      </c>
      <c r="B123" s="14"/>
      <c r="C123" s="14" t="s">
        <v>63</v>
      </c>
      <c r="D123" s="14"/>
      <c r="E123" s="14"/>
      <c r="F123" s="4" t="s">
        <v>32</v>
      </c>
      <c r="G123" s="4" t="s">
        <v>33</v>
      </c>
      <c r="H123" s="5">
        <v>96</v>
      </c>
      <c r="I123" s="15">
        <v>1979</v>
      </c>
      <c r="J123" s="15"/>
      <c r="K123" s="15"/>
      <c r="L123" s="15">
        <v>172713</v>
      </c>
      <c r="M123" s="15"/>
      <c r="N123" s="15">
        <v>17271</v>
      </c>
      <c r="O123" s="15"/>
      <c r="P123" s="6">
        <v>189984</v>
      </c>
    </row>
    <row r="124" spans="1:16" x14ac:dyDescent="0.3">
      <c r="A124" s="14" t="s">
        <v>49</v>
      </c>
      <c r="B124" s="14"/>
      <c r="C124" s="14" t="s">
        <v>38</v>
      </c>
      <c r="D124" s="14"/>
      <c r="E124" s="14"/>
      <c r="F124" s="4" t="s">
        <v>32</v>
      </c>
      <c r="G124" s="4" t="s">
        <v>33</v>
      </c>
      <c r="H124" s="5">
        <v>79</v>
      </c>
      <c r="I124" s="15">
        <v>1979</v>
      </c>
      <c r="J124" s="15"/>
      <c r="K124" s="15"/>
      <c r="L124" s="15">
        <v>142128</v>
      </c>
      <c r="M124" s="15"/>
      <c r="N124" s="15">
        <v>14213</v>
      </c>
      <c r="O124" s="15"/>
      <c r="P124" s="6">
        <v>156341</v>
      </c>
    </row>
    <row r="125" spans="1:16" x14ac:dyDescent="0.3">
      <c r="A125" s="14" t="s">
        <v>49</v>
      </c>
      <c r="B125" s="14"/>
      <c r="C125" s="14" t="s">
        <v>35</v>
      </c>
      <c r="D125" s="14"/>
      <c r="E125" s="14"/>
      <c r="F125" s="4" t="s">
        <v>32</v>
      </c>
      <c r="G125" s="4" t="s">
        <v>33</v>
      </c>
      <c r="H125" s="5">
        <v>64</v>
      </c>
      <c r="I125" s="15">
        <v>1979</v>
      </c>
      <c r="J125" s="15"/>
      <c r="K125" s="15"/>
      <c r="L125" s="15">
        <v>115142</v>
      </c>
      <c r="M125" s="15"/>
      <c r="N125" s="15">
        <v>11514</v>
      </c>
      <c r="O125" s="15"/>
      <c r="P125" s="6">
        <v>126656</v>
      </c>
    </row>
    <row r="126" spans="1:16" x14ac:dyDescent="0.3">
      <c r="A126" s="14" t="s">
        <v>49</v>
      </c>
      <c r="B126" s="14"/>
      <c r="C126" s="14" t="s">
        <v>31</v>
      </c>
      <c r="D126" s="14"/>
      <c r="E126" s="14"/>
      <c r="F126" s="4" t="s">
        <v>32</v>
      </c>
      <c r="G126" s="4" t="s">
        <v>33</v>
      </c>
      <c r="H126" s="5">
        <v>89</v>
      </c>
      <c r="I126" s="15">
        <v>1979</v>
      </c>
      <c r="J126" s="15"/>
      <c r="K126" s="15"/>
      <c r="L126" s="15">
        <v>160119</v>
      </c>
      <c r="M126" s="15"/>
      <c r="N126" s="15">
        <v>16012</v>
      </c>
      <c r="O126" s="15"/>
      <c r="P126" s="6">
        <v>176131</v>
      </c>
    </row>
    <row r="127" spans="1:16" x14ac:dyDescent="0.3">
      <c r="A127" s="14" t="s">
        <v>49</v>
      </c>
      <c r="B127" s="14"/>
      <c r="C127" s="14" t="s">
        <v>34</v>
      </c>
      <c r="D127" s="14"/>
      <c r="E127" s="14"/>
      <c r="F127" s="4" t="s">
        <v>32</v>
      </c>
      <c r="G127" s="4" t="s">
        <v>33</v>
      </c>
      <c r="H127" s="5">
        <v>45</v>
      </c>
      <c r="I127" s="15">
        <v>1979</v>
      </c>
      <c r="J127" s="15"/>
      <c r="K127" s="15"/>
      <c r="L127" s="15">
        <v>80959</v>
      </c>
      <c r="M127" s="15"/>
      <c r="N127" s="15">
        <v>8096</v>
      </c>
      <c r="O127" s="15"/>
      <c r="P127" s="6">
        <v>89055</v>
      </c>
    </row>
    <row r="128" spans="1:16" x14ac:dyDescent="0.3">
      <c r="A128" s="14" t="s">
        <v>49</v>
      </c>
      <c r="B128" s="14"/>
      <c r="C128" s="14" t="s">
        <v>36</v>
      </c>
      <c r="D128" s="14"/>
      <c r="E128" s="14"/>
      <c r="F128" s="4" t="s">
        <v>32</v>
      </c>
      <c r="G128" s="4" t="s">
        <v>33</v>
      </c>
      <c r="H128" s="5">
        <v>11</v>
      </c>
      <c r="I128" s="15">
        <v>1979</v>
      </c>
      <c r="J128" s="15"/>
      <c r="K128" s="15"/>
      <c r="L128" s="15">
        <v>19790</v>
      </c>
      <c r="M128" s="15"/>
      <c r="N128" s="15">
        <v>1979</v>
      </c>
      <c r="O128" s="15"/>
      <c r="P128" s="6">
        <v>21769</v>
      </c>
    </row>
    <row r="129" spans="1:16" x14ac:dyDescent="0.3">
      <c r="A129" s="14" t="s">
        <v>49</v>
      </c>
      <c r="B129" s="14"/>
      <c r="C129" s="14" t="s">
        <v>37</v>
      </c>
      <c r="D129" s="14"/>
      <c r="E129" s="14"/>
      <c r="F129" s="4" t="s">
        <v>32</v>
      </c>
      <c r="G129" s="4" t="s">
        <v>33</v>
      </c>
      <c r="H129" s="5">
        <v>25</v>
      </c>
      <c r="I129" s="15">
        <v>1979</v>
      </c>
      <c r="J129" s="15"/>
      <c r="K129" s="15"/>
      <c r="L129" s="15">
        <v>44977</v>
      </c>
      <c r="M129" s="15"/>
      <c r="N129" s="15">
        <v>4498</v>
      </c>
      <c r="O129" s="15"/>
      <c r="P129" s="6">
        <v>49475</v>
      </c>
    </row>
    <row r="130" spans="1:16" x14ac:dyDescent="0.3">
      <c r="A130" s="14" t="s">
        <v>49</v>
      </c>
      <c r="B130" s="14"/>
      <c r="C130" s="14" t="s">
        <v>59</v>
      </c>
      <c r="D130" s="14"/>
      <c r="E130" s="14"/>
      <c r="F130" s="4" t="s">
        <v>32</v>
      </c>
      <c r="G130" s="4" t="s">
        <v>33</v>
      </c>
      <c r="H130" s="5">
        <v>60</v>
      </c>
      <c r="I130" s="15">
        <v>1979</v>
      </c>
      <c r="J130" s="15"/>
      <c r="K130" s="15"/>
      <c r="L130" s="15">
        <v>107945</v>
      </c>
      <c r="M130" s="15"/>
      <c r="N130" s="15">
        <v>10795</v>
      </c>
      <c r="O130" s="15"/>
      <c r="P130" s="6">
        <v>118740</v>
      </c>
    </row>
    <row r="131" spans="1:16" x14ac:dyDescent="0.3">
      <c r="A131" s="14" t="s">
        <v>49</v>
      </c>
      <c r="B131" s="14"/>
      <c r="C131" s="14" t="s">
        <v>57</v>
      </c>
      <c r="D131" s="14"/>
      <c r="E131" s="14"/>
      <c r="F131" s="4" t="s">
        <v>32</v>
      </c>
      <c r="G131" s="4" t="s">
        <v>33</v>
      </c>
      <c r="H131" s="5">
        <v>110</v>
      </c>
      <c r="I131" s="15">
        <v>1979</v>
      </c>
      <c r="J131" s="15"/>
      <c r="K131" s="15"/>
      <c r="L131" s="15">
        <v>197900</v>
      </c>
      <c r="M131" s="15"/>
      <c r="N131" s="15">
        <v>19790</v>
      </c>
      <c r="O131" s="15"/>
      <c r="P131" s="6">
        <v>217690</v>
      </c>
    </row>
    <row r="132" spans="1:16" x14ac:dyDescent="0.3">
      <c r="A132" s="14" t="s">
        <v>49</v>
      </c>
      <c r="B132" s="14"/>
      <c r="C132" s="14" t="s">
        <v>62</v>
      </c>
      <c r="D132" s="14"/>
      <c r="E132" s="14"/>
      <c r="F132" s="4" t="s">
        <v>32</v>
      </c>
      <c r="G132" s="4" t="s">
        <v>33</v>
      </c>
      <c r="H132" s="5">
        <v>124</v>
      </c>
      <c r="I132" s="15">
        <v>1979</v>
      </c>
      <c r="J132" s="15"/>
      <c r="K132" s="15"/>
      <c r="L132" s="15">
        <v>223087</v>
      </c>
      <c r="M132" s="15"/>
      <c r="N132" s="15">
        <v>22309</v>
      </c>
      <c r="O132" s="15"/>
      <c r="P132" s="6">
        <v>245396</v>
      </c>
    </row>
    <row r="133" spans="1:16" x14ac:dyDescent="0.3">
      <c r="A133" s="14" t="s">
        <v>2</v>
      </c>
      <c r="B133" s="14"/>
      <c r="C133" s="14" t="s">
        <v>64</v>
      </c>
      <c r="D133" s="14"/>
      <c r="E133" s="14"/>
      <c r="F133" s="4" t="s">
        <v>32</v>
      </c>
      <c r="G133" s="4" t="s">
        <v>33</v>
      </c>
      <c r="H133" s="5">
        <v>79</v>
      </c>
      <c r="I133" s="15">
        <v>1979</v>
      </c>
      <c r="J133" s="15"/>
      <c r="K133" s="15"/>
      <c r="L133" s="15">
        <v>142128</v>
      </c>
      <c r="M133" s="15"/>
      <c r="N133" s="15">
        <v>14213</v>
      </c>
      <c r="O133" s="15"/>
      <c r="P133" s="6">
        <v>156341</v>
      </c>
    </row>
    <row r="134" spans="1:16" x14ac:dyDescent="0.3">
      <c r="A134" s="14" t="s">
        <v>2</v>
      </c>
      <c r="B134" s="14"/>
      <c r="C134" s="14" t="s">
        <v>60</v>
      </c>
      <c r="D134" s="14"/>
      <c r="E134" s="14"/>
      <c r="F134" s="4" t="s">
        <v>32</v>
      </c>
      <c r="G134" s="4" t="s">
        <v>33</v>
      </c>
      <c r="H134" s="5">
        <v>109</v>
      </c>
      <c r="I134" s="15">
        <v>1979</v>
      </c>
      <c r="J134" s="15"/>
      <c r="K134" s="15"/>
      <c r="L134" s="15">
        <v>196101</v>
      </c>
      <c r="M134" s="15"/>
      <c r="N134" s="15">
        <v>19610</v>
      </c>
      <c r="O134" s="15"/>
      <c r="P134" s="6">
        <v>215711</v>
      </c>
    </row>
    <row r="135" spans="1:16" x14ac:dyDescent="0.3">
      <c r="A135" s="14" t="s">
        <v>2</v>
      </c>
      <c r="B135" s="14"/>
      <c r="C135" s="14" t="s">
        <v>66</v>
      </c>
      <c r="D135" s="14"/>
      <c r="E135" s="14"/>
      <c r="F135" s="4" t="s">
        <v>32</v>
      </c>
      <c r="G135" s="4" t="s">
        <v>33</v>
      </c>
      <c r="H135" s="5">
        <v>89</v>
      </c>
      <c r="I135" s="15">
        <v>1979</v>
      </c>
      <c r="J135" s="15"/>
      <c r="K135" s="15"/>
      <c r="L135" s="15">
        <v>160119</v>
      </c>
      <c r="M135" s="15"/>
      <c r="N135" s="15">
        <v>16012</v>
      </c>
      <c r="O135" s="15"/>
      <c r="P135" s="6">
        <v>176131</v>
      </c>
    </row>
    <row r="136" spans="1:16" x14ac:dyDescent="0.3">
      <c r="A136" s="14" t="s">
        <v>50</v>
      </c>
      <c r="B136" s="14"/>
      <c r="C136" s="14" t="s">
        <v>35</v>
      </c>
      <c r="D136" s="14"/>
      <c r="E136" s="14"/>
      <c r="F136" s="4" t="s">
        <v>32</v>
      </c>
      <c r="G136" s="4" t="s">
        <v>33</v>
      </c>
      <c r="H136" s="5">
        <v>80</v>
      </c>
      <c r="I136" s="15">
        <v>1979</v>
      </c>
      <c r="J136" s="15"/>
      <c r="K136" s="15"/>
      <c r="L136" s="15">
        <v>143927</v>
      </c>
      <c r="M136" s="15"/>
      <c r="N136" s="15">
        <v>14393</v>
      </c>
      <c r="O136" s="15"/>
      <c r="P136" s="6">
        <v>158320</v>
      </c>
    </row>
    <row r="137" spans="1:16" x14ac:dyDescent="0.3">
      <c r="A137" s="14" t="s">
        <v>50</v>
      </c>
      <c r="B137" s="14"/>
      <c r="C137" s="14" t="s">
        <v>37</v>
      </c>
      <c r="D137" s="14"/>
      <c r="E137" s="14"/>
      <c r="F137" s="4" t="s">
        <v>32</v>
      </c>
      <c r="G137" s="4" t="s">
        <v>33</v>
      </c>
      <c r="H137" s="5">
        <v>32</v>
      </c>
      <c r="I137" s="15">
        <v>1979</v>
      </c>
      <c r="J137" s="15"/>
      <c r="K137" s="15"/>
      <c r="L137" s="15">
        <v>57571</v>
      </c>
      <c r="M137" s="15"/>
      <c r="N137" s="15">
        <v>5757</v>
      </c>
      <c r="O137" s="15"/>
      <c r="P137" s="6">
        <v>63328</v>
      </c>
    </row>
    <row r="138" spans="1:16" x14ac:dyDescent="0.3">
      <c r="A138" s="14" t="s">
        <v>50</v>
      </c>
      <c r="B138" s="14"/>
      <c r="C138" s="14" t="s">
        <v>36</v>
      </c>
      <c r="D138" s="14"/>
      <c r="E138" s="14"/>
      <c r="F138" s="4" t="s">
        <v>32</v>
      </c>
      <c r="G138" s="4" t="s">
        <v>33</v>
      </c>
      <c r="H138" s="5">
        <v>12</v>
      </c>
      <c r="I138" s="15">
        <v>1979</v>
      </c>
      <c r="J138" s="15"/>
      <c r="K138" s="15"/>
      <c r="L138" s="15">
        <v>21589</v>
      </c>
      <c r="M138" s="15"/>
      <c r="N138" s="15">
        <v>2159</v>
      </c>
      <c r="O138" s="15"/>
      <c r="P138" s="6">
        <v>23748</v>
      </c>
    </row>
    <row r="139" spans="1:16" x14ac:dyDescent="0.3">
      <c r="A139" s="14" t="s">
        <v>50</v>
      </c>
      <c r="B139" s="14"/>
      <c r="C139" s="14" t="s">
        <v>38</v>
      </c>
      <c r="D139" s="14"/>
      <c r="E139" s="14"/>
      <c r="F139" s="4" t="s">
        <v>32</v>
      </c>
      <c r="G139" s="4" t="s">
        <v>33</v>
      </c>
      <c r="H139" s="5">
        <v>87</v>
      </c>
      <c r="I139" s="15">
        <v>1979</v>
      </c>
      <c r="J139" s="15"/>
      <c r="K139" s="15"/>
      <c r="L139" s="15">
        <v>156521</v>
      </c>
      <c r="M139" s="15"/>
      <c r="N139" s="15">
        <v>15652</v>
      </c>
      <c r="O139" s="15"/>
      <c r="P139" s="6">
        <v>172173</v>
      </c>
    </row>
    <row r="140" spans="1:16" x14ac:dyDescent="0.3">
      <c r="A140" s="14" t="s">
        <v>50</v>
      </c>
      <c r="B140" s="14"/>
      <c r="C140" s="14" t="s">
        <v>31</v>
      </c>
      <c r="D140" s="14"/>
      <c r="E140" s="14"/>
      <c r="F140" s="4" t="s">
        <v>32</v>
      </c>
      <c r="G140" s="4" t="s">
        <v>33</v>
      </c>
      <c r="H140" s="5">
        <v>79</v>
      </c>
      <c r="I140" s="15">
        <v>1979</v>
      </c>
      <c r="J140" s="15"/>
      <c r="K140" s="15"/>
      <c r="L140" s="15">
        <v>142128</v>
      </c>
      <c r="M140" s="15"/>
      <c r="N140" s="15">
        <v>14213</v>
      </c>
      <c r="O140" s="15"/>
      <c r="P140" s="6">
        <v>156341</v>
      </c>
    </row>
    <row r="141" spans="1:16" x14ac:dyDescent="0.3">
      <c r="A141" s="14" t="s">
        <v>50</v>
      </c>
      <c r="B141" s="14"/>
      <c r="C141" s="14" t="s">
        <v>34</v>
      </c>
      <c r="D141" s="14"/>
      <c r="E141" s="14"/>
      <c r="F141" s="4" t="s">
        <v>32</v>
      </c>
      <c r="G141" s="4" t="s">
        <v>33</v>
      </c>
      <c r="H141" s="5">
        <v>47</v>
      </c>
      <c r="I141" s="15">
        <v>1979</v>
      </c>
      <c r="J141" s="15"/>
      <c r="K141" s="15"/>
      <c r="L141" s="15">
        <v>84557</v>
      </c>
      <c r="M141" s="15"/>
      <c r="N141" s="15">
        <v>8456</v>
      </c>
      <c r="O141" s="15"/>
      <c r="P141" s="6">
        <v>93013</v>
      </c>
    </row>
    <row r="142" spans="1:16" x14ac:dyDescent="0.3">
      <c r="A142" s="14" t="s">
        <v>50</v>
      </c>
      <c r="B142" s="14"/>
      <c r="C142" s="14" t="s">
        <v>43</v>
      </c>
      <c r="D142" s="14"/>
      <c r="E142" s="14"/>
      <c r="F142" s="4" t="s">
        <v>32</v>
      </c>
      <c r="G142" s="4" t="s">
        <v>33</v>
      </c>
      <c r="H142" s="5">
        <v>3</v>
      </c>
      <c r="I142" s="15">
        <v>1979</v>
      </c>
      <c r="J142" s="15"/>
      <c r="K142" s="15"/>
      <c r="L142" s="15">
        <v>5397</v>
      </c>
      <c r="M142" s="15"/>
      <c r="N142" s="15">
        <v>540</v>
      </c>
      <c r="O142" s="15"/>
      <c r="P142" s="6">
        <v>5937</v>
      </c>
    </row>
    <row r="143" spans="1:16" x14ac:dyDescent="0.3">
      <c r="A143" s="14" t="s">
        <v>50</v>
      </c>
      <c r="B143" s="14"/>
      <c r="C143" s="14" t="s">
        <v>59</v>
      </c>
      <c r="D143" s="14"/>
      <c r="E143" s="14"/>
      <c r="F143" s="4" t="s">
        <v>32</v>
      </c>
      <c r="G143" s="4" t="s">
        <v>33</v>
      </c>
      <c r="H143" s="5">
        <v>101</v>
      </c>
      <c r="I143" s="15">
        <v>1979</v>
      </c>
      <c r="J143" s="15"/>
      <c r="K143" s="15"/>
      <c r="L143" s="15">
        <v>181708</v>
      </c>
      <c r="M143" s="15"/>
      <c r="N143" s="15">
        <v>18171</v>
      </c>
      <c r="O143" s="15"/>
      <c r="P143" s="6">
        <v>199879</v>
      </c>
    </row>
    <row r="144" spans="1:16" x14ac:dyDescent="0.3">
      <c r="A144" s="14" t="s">
        <v>50</v>
      </c>
      <c r="B144" s="14"/>
      <c r="C144" s="14" t="s">
        <v>64</v>
      </c>
      <c r="D144" s="14"/>
      <c r="E144" s="14"/>
      <c r="F144" s="4" t="s">
        <v>32</v>
      </c>
      <c r="G144" s="4" t="s">
        <v>33</v>
      </c>
      <c r="H144" s="5">
        <v>77</v>
      </c>
      <c r="I144" s="15">
        <v>1979</v>
      </c>
      <c r="J144" s="15"/>
      <c r="K144" s="15"/>
      <c r="L144" s="15">
        <v>138530</v>
      </c>
      <c r="M144" s="15"/>
      <c r="N144" s="15">
        <v>13853</v>
      </c>
      <c r="O144" s="15"/>
      <c r="P144" s="6">
        <v>152383</v>
      </c>
    </row>
    <row r="145" spans="1:16" x14ac:dyDescent="0.3">
      <c r="A145" s="14" t="s">
        <v>50</v>
      </c>
      <c r="B145" s="14"/>
      <c r="C145" s="14" t="s">
        <v>59</v>
      </c>
      <c r="D145" s="14"/>
      <c r="E145" s="14"/>
      <c r="F145" s="4" t="s">
        <v>32</v>
      </c>
      <c r="G145" s="4" t="s">
        <v>33</v>
      </c>
      <c r="H145" s="5">
        <v>62</v>
      </c>
      <c r="I145" s="15">
        <v>1979</v>
      </c>
      <c r="J145" s="15"/>
      <c r="K145" s="15"/>
      <c r="L145" s="15">
        <v>111544</v>
      </c>
      <c r="M145" s="15"/>
      <c r="N145" s="15">
        <v>11154</v>
      </c>
      <c r="O145" s="15"/>
      <c r="P145" s="6">
        <v>122698</v>
      </c>
    </row>
    <row r="146" spans="1:16" x14ac:dyDescent="0.3">
      <c r="A146" s="14" t="s">
        <v>79</v>
      </c>
      <c r="B146" s="14"/>
      <c r="C146" s="14" t="s">
        <v>57</v>
      </c>
      <c r="D146" s="14"/>
      <c r="E146" s="14"/>
      <c r="F146" s="4" t="s">
        <v>32</v>
      </c>
      <c r="G146" s="4" t="s">
        <v>33</v>
      </c>
      <c r="H146" s="5">
        <v>113</v>
      </c>
      <c r="I146" s="15">
        <v>1979</v>
      </c>
      <c r="J146" s="15"/>
      <c r="K146" s="15"/>
      <c r="L146" s="15">
        <v>203297</v>
      </c>
      <c r="M146" s="15"/>
      <c r="N146" s="15">
        <v>20330</v>
      </c>
      <c r="O146" s="15"/>
      <c r="P146" s="6">
        <v>223627</v>
      </c>
    </row>
    <row r="147" spans="1:16" x14ac:dyDescent="0.3">
      <c r="A147" s="14" t="s">
        <v>4</v>
      </c>
      <c r="B147" s="14"/>
      <c r="C147" s="14" t="s">
        <v>4</v>
      </c>
      <c r="D147" s="14"/>
      <c r="E147" s="14"/>
      <c r="F147" s="27" t="s">
        <v>80</v>
      </c>
      <c r="G147" s="27" t="s">
        <v>33</v>
      </c>
      <c r="H147" s="28">
        <v>9142</v>
      </c>
      <c r="I147" s="29">
        <v>0</v>
      </c>
      <c r="J147" s="29"/>
      <c r="K147" s="29"/>
      <c r="L147" s="30">
        <v>16438267</v>
      </c>
      <c r="M147" s="30"/>
      <c r="N147" s="30">
        <v>1643826</v>
      </c>
      <c r="O147" s="30"/>
      <c r="P147" s="31">
        <v>18082093</v>
      </c>
    </row>
    <row r="148" spans="1:16" x14ac:dyDescent="0.3">
      <c r="A148" s="14" t="s">
        <v>30</v>
      </c>
      <c r="B148" s="14"/>
      <c r="C148" s="14" t="s">
        <v>53</v>
      </c>
      <c r="D148" s="14"/>
      <c r="E148" s="14"/>
      <c r="F148" s="4" t="s">
        <v>54</v>
      </c>
      <c r="G148" s="4" t="s">
        <v>33</v>
      </c>
      <c r="H148" s="5">
        <v>53</v>
      </c>
      <c r="I148" s="15">
        <v>1964</v>
      </c>
      <c r="J148" s="15"/>
      <c r="K148" s="15"/>
      <c r="L148" s="15">
        <v>94629</v>
      </c>
      <c r="M148" s="15"/>
      <c r="N148" s="15">
        <v>9463</v>
      </c>
      <c r="O148" s="15"/>
      <c r="P148" s="6">
        <v>104092</v>
      </c>
    </row>
    <row r="149" spans="1:16" x14ac:dyDescent="0.3">
      <c r="A149" s="14" t="s">
        <v>74</v>
      </c>
      <c r="B149" s="14"/>
      <c r="C149" s="14" t="s">
        <v>75</v>
      </c>
      <c r="D149" s="14"/>
      <c r="E149" s="14"/>
      <c r="F149" s="4" t="s">
        <v>54</v>
      </c>
      <c r="G149" s="4" t="s">
        <v>33</v>
      </c>
      <c r="H149" s="5">
        <v>35</v>
      </c>
      <c r="I149" s="15">
        <v>1964</v>
      </c>
      <c r="J149" s="15"/>
      <c r="K149" s="15"/>
      <c r="L149" s="15">
        <v>62491</v>
      </c>
      <c r="M149" s="15"/>
      <c r="N149" s="15">
        <v>6249</v>
      </c>
      <c r="O149" s="15"/>
      <c r="P149" s="6">
        <v>68740</v>
      </c>
    </row>
    <row r="150" spans="1:16" x14ac:dyDescent="0.3">
      <c r="A150" s="14" t="s">
        <v>74</v>
      </c>
      <c r="B150" s="14"/>
      <c r="C150" s="14" t="s">
        <v>76</v>
      </c>
      <c r="D150" s="14"/>
      <c r="E150" s="14"/>
      <c r="F150" s="4" t="s">
        <v>54</v>
      </c>
      <c r="G150" s="4" t="s">
        <v>33</v>
      </c>
      <c r="H150" s="5">
        <v>45</v>
      </c>
      <c r="I150" s="15">
        <v>1964</v>
      </c>
      <c r="J150" s="15"/>
      <c r="K150" s="15"/>
      <c r="L150" s="15">
        <v>80345</v>
      </c>
      <c r="M150" s="15"/>
      <c r="N150" s="15">
        <v>8035</v>
      </c>
      <c r="O150" s="15"/>
      <c r="P150" s="6">
        <v>88380</v>
      </c>
    </row>
    <row r="151" spans="1:16" x14ac:dyDescent="0.3">
      <c r="A151" s="14" t="s">
        <v>4</v>
      </c>
      <c r="B151" s="14"/>
      <c r="C151" s="14" t="s">
        <v>4</v>
      </c>
      <c r="D151" s="14"/>
      <c r="E151" s="14"/>
      <c r="F151" s="27" t="s">
        <v>81</v>
      </c>
      <c r="G151" s="27" t="s">
        <v>33</v>
      </c>
      <c r="H151" s="28">
        <v>133</v>
      </c>
      <c r="I151" s="29">
        <v>0</v>
      </c>
      <c r="J151" s="29"/>
      <c r="K151" s="29"/>
      <c r="L151" s="30">
        <v>237465</v>
      </c>
      <c r="M151" s="30"/>
      <c r="N151" s="30">
        <v>23747</v>
      </c>
      <c r="O151" s="30"/>
      <c r="P151" s="31">
        <v>261212</v>
      </c>
    </row>
    <row r="152" spans="1:16" x14ac:dyDescent="0.3">
      <c r="A152" s="14" t="s">
        <v>56</v>
      </c>
      <c r="B152" s="14"/>
      <c r="C152" s="14" t="s">
        <v>57</v>
      </c>
      <c r="D152" s="14"/>
      <c r="E152" s="14"/>
      <c r="F152" s="4" t="s">
        <v>58</v>
      </c>
      <c r="G152" s="4" t="s">
        <v>33</v>
      </c>
      <c r="H152" s="5">
        <v>1</v>
      </c>
      <c r="I152" s="15">
        <v>4000</v>
      </c>
      <c r="J152" s="15"/>
      <c r="K152" s="15"/>
      <c r="L152" s="15">
        <v>3636</v>
      </c>
      <c r="M152" s="15"/>
      <c r="N152" s="15">
        <v>364</v>
      </c>
      <c r="O152" s="15"/>
      <c r="P152" s="6">
        <v>4000</v>
      </c>
    </row>
    <row r="153" spans="1:16" x14ac:dyDescent="0.3">
      <c r="A153" s="14" t="s">
        <v>4</v>
      </c>
      <c r="B153" s="14"/>
      <c r="C153" s="14" t="s">
        <v>4</v>
      </c>
      <c r="D153" s="14"/>
      <c r="E153" s="14"/>
      <c r="F153" s="27" t="s">
        <v>82</v>
      </c>
      <c r="G153" s="27" t="s">
        <v>33</v>
      </c>
      <c r="H153" s="28">
        <v>1</v>
      </c>
      <c r="I153" s="29">
        <v>0</v>
      </c>
      <c r="J153" s="29"/>
      <c r="K153" s="29"/>
      <c r="L153" s="30">
        <v>3636</v>
      </c>
      <c r="M153" s="30"/>
      <c r="N153" s="30">
        <v>364</v>
      </c>
      <c r="O153" s="30"/>
      <c r="P153" s="31">
        <v>4000</v>
      </c>
    </row>
    <row r="154" spans="1:16" ht="17.25" customHeight="1" x14ac:dyDescent="0.3">
      <c r="A154" s="16" t="s">
        <v>51</v>
      </c>
      <c r="B154" s="16"/>
      <c r="C154" s="16"/>
      <c r="D154" s="16"/>
      <c r="E154" s="16"/>
      <c r="F154" s="16"/>
      <c r="G154" s="16"/>
      <c r="H154" s="7">
        <v>9276</v>
      </c>
      <c r="I154" s="16" t="s">
        <v>4</v>
      </c>
      <c r="J154" s="16"/>
      <c r="K154" s="16"/>
      <c r="L154" s="17">
        <v>16679368</v>
      </c>
      <c r="M154" s="17"/>
      <c r="N154" s="17">
        <v>1667937</v>
      </c>
      <c r="O154" s="17"/>
      <c r="P154" s="8">
        <v>18347305</v>
      </c>
    </row>
  </sheetData>
  <mergeCells count="751">
    <mergeCell ref="A154:G154"/>
    <mergeCell ref="I154:K154"/>
    <mergeCell ref="L154:M154"/>
    <mergeCell ref="N154:O154"/>
    <mergeCell ref="A152:B152"/>
    <mergeCell ref="C152:E152"/>
    <mergeCell ref="I152:K152"/>
    <mergeCell ref="L152:M152"/>
    <mergeCell ref="N152:O152"/>
    <mergeCell ref="A153:B153"/>
    <mergeCell ref="C153:E153"/>
    <mergeCell ref="I153:K153"/>
    <mergeCell ref="L153:M153"/>
    <mergeCell ref="N153:O153"/>
    <mergeCell ref="A150:B150"/>
    <mergeCell ref="C150:E150"/>
    <mergeCell ref="I150:K150"/>
    <mergeCell ref="L150:M150"/>
    <mergeCell ref="N150:O150"/>
    <mergeCell ref="A151:B151"/>
    <mergeCell ref="C151:E151"/>
    <mergeCell ref="I151:K151"/>
    <mergeCell ref="L151:M151"/>
    <mergeCell ref="N151:O151"/>
    <mergeCell ref="A148:B148"/>
    <mergeCell ref="C148:E148"/>
    <mergeCell ref="I148:K148"/>
    <mergeCell ref="L148:M148"/>
    <mergeCell ref="N148:O148"/>
    <mergeCell ref="A149:B149"/>
    <mergeCell ref="C149:E149"/>
    <mergeCell ref="I149:K149"/>
    <mergeCell ref="L149:M149"/>
    <mergeCell ref="N149:O149"/>
    <mergeCell ref="A146:B146"/>
    <mergeCell ref="C146:E146"/>
    <mergeCell ref="I146:K146"/>
    <mergeCell ref="L146:M146"/>
    <mergeCell ref="N146:O146"/>
    <mergeCell ref="A147:B147"/>
    <mergeCell ref="C147:E147"/>
    <mergeCell ref="I147:K147"/>
    <mergeCell ref="L147:M147"/>
    <mergeCell ref="N147:O147"/>
    <mergeCell ref="A144:B144"/>
    <mergeCell ref="C144:E144"/>
    <mergeCell ref="I144:K144"/>
    <mergeCell ref="L144:M144"/>
    <mergeCell ref="N144:O144"/>
    <mergeCell ref="A145:B145"/>
    <mergeCell ref="C145:E145"/>
    <mergeCell ref="I145:K145"/>
    <mergeCell ref="L145:M145"/>
    <mergeCell ref="N145:O145"/>
    <mergeCell ref="A142:B142"/>
    <mergeCell ref="C142:E142"/>
    <mergeCell ref="I142:K142"/>
    <mergeCell ref="L142:M142"/>
    <mergeCell ref="N142:O142"/>
    <mergeCell ref="A143:B143"/>
    <mergeCell ref="C143:E143"/>
    <mergeCell ref="I143:K143"/>
    <mergeCell ref="L143:M143"/>
    <mergeCell ref="N143:O143"/>
    <mergeCell ref="A140:B140"/>
    <mergeCell ref="C140:E140"/>
    <mergeCell ref="I140:K140"/>
    <mergeCell ref="L140:M140"/>
    <mergeCell ref="N140:O140"/>
    <mergeCell ref="A141:B141"/>
    <mergeCell ref="C141:E141"/>
    <mergeCell ref="I141:K141"/>
    <mergeCell ref="L141:M141"/>
    <mergeCell ref="N141:O141"/>
    <mergeCell ref="A138:B138"/>
    <mergeCell ref="C138:E138"/>
    <mergeCell ref="I138:K138"/>
    <mergeCell ref="L138:M138"/>
    <mergeCell ref="N138:O138"/>
    <mergeCell ref="A139:B139"/>
    <mergeCell ref="C139:E139"/>
    <mergeCell ref="I139:K139"/>
    <mergeCell ref="L139:M139"/>
    <mergeCell ref="N139:O139"/>
    <mergeCell ref="A136:B136"/>
    <mergeCell ref="C136:E136"/>
    <mergeCell ref="I136:K136"/>
    <mergeCell ref="L136:M136"/>
    <mergeCell ref="N136:O136"/>
    <mergeCell ref="A137:B137"/>
    <mergeCell ref="C137:E137"/>
    <mergeCell ref="I137:K137"/>
    <mergeCell ref="L137:M137"/>
    <mergeCell ref="N137:O137"/>
    <mergeCell ref="A134:B134"/>
    <mergeCell ref="C134:E134"/>
    <mergeCell ref="I134:K134"/>
    <mergeCell ref="L134:M134"/>
    <mergeCell ref="N134:O134"/>
    <mergeCell ref="A135:B135"/>
    <mergeCell ref="C135:E135"/>
    <mergeCell ref="I135:K135"/>
    <mergeCell ref="L135:M135"/>
    <mergeCell ref="N135:O135"/>
    <mergeCell ref="A132:B132"/>
    <mergeCell ref="C132:E132"/>
    <mergeCell ref="I132:K132"/>
    <mergeCell ref="L132:M132"/>
    <mergeCell ref="N132:O132"/>
    <mergeCell ref="A133:B133"/>
    <mergeCell ref="C133:E133"/>
    <mergeCell ref="I133:K133"/>
    <mergeCell ref="L133:M133"/>
    <mergeCell ref="N133:O133"/>
    <mergeCell ref="A130:B130"/>
    <mergeCell ref="C130:E130"/>
    <mergeCell ref="I130:K130"/>
    <mergeCell ref="L130:M130"/>
    <mergeCell ref="N130:O130"/>
    <mergeCell ref="A131:B131"/>
    <mergeCell ref="C131:E131"/>
    <mergeCell ref="I131:K131"/>
    <mergeCell ref="L131:M131"/>
    <mergeCell ref="N131:O131"/>
    <mergeCell ref="A128:B128"/>
    <mergeCell ref="C128:E128"/>
    <mergeCell ref="I128:K128"/>
    <mergeCell ref="L128:M128"/>
    <mergeCell ref="N128:O128"/>
    <mergeCell ref="A129:B129"/>
    <mergeCell ref="C129:E129"/>
    <mergeCell ref="I129:K129"/>
    <mergeCell ref="L129:M129"/>
    <mergeCell ref="N129:O129"/>
    <mergeCell ref="A126:B126"/>
    <mergeCell ref="C126:E126"/>
    <mergeCell ref="I126:K126"/>
    <mergeCell ref="L126:M126"/>
    <mergeCell ref="N126:O126"/>
    <mergeCell ref="A127:B127"/>
    <mergeCell ref="C127:E127"/>
    <mergeCell ref="I127:K127"/>
    <mergeCell ref="L127:M127"/>
    <mergeCell ref="N127:O127"/>
    <mergeCell ref="A124:B124"/>
    <mergeCell ref="C124:E124"/>
    <mergeCell ref="I124:K124"/>
    <mergeCell ref="L124:M124"/>
    <mergeCell ref="N124:O124"/>
    <mergeCell ref="A125:B125"/>
    <mergeCell ref="C125:E125"/>
    <mergeCell ref="I125:K125"/>
    <mergeCell ref="L125:M125"/>
    <mergeCell ref="N125:O125"/>
    <mergeCell ref="A122:B122"/>
    <mergeCell ref="C122:E122"/>
    <mergeCell ref="I122:K122"/>
    <mergeCell ref="L122:M122"/>
    <mergeCell ref="N122:O122"/>
    <mergeCell ref="A123:B123"/>
    <mergeCell ref="C123:E123"/>
    <mergeCell ref="I123:K123"/>
    <mergeCell ref="L123:M123"/>
    <mergeCell ref="N123:O123"/>
    <mergeCell ref="A120:B120"/>
    <mergeCell ref="C120:E120"/>
    <mergeCell ref="I120:K120"/>
    <mergeCell ref="L120:M120"/>
    <mergeCell ref="N120:O120"/>
    <mergeCell ref="A121:B121"/>
    <mergeCell ref="C121:E121"/>
    <mergeCell ref="I121:K121"/>
    <mergeCell ref="L121:M121"/>
    <mergeCell ref="N121:O121"/>
    <mergeCell ref="A118:B118"/>
    <mergeCell ref="C118:E118"/>
    <mergeCell ref="I118:K118"/>
    <mergeCell ref="L118:M118"/>
    <mergeCell ref="N118:O118"/>
    <mergeCell ref="A119:B119"/>
    <mergeCell ref="C119:E119"/>
    <mergeCell ref="I119:K119"/>
    <mergeCell ref="L119:M119"/>
    <mergeCell ref="N119:O119"/>
    <mergeCell ref="A116:B116"/>
    <mergeCell ref="C116:E116"/>
    <mergeCell ref="I116:K116"/>
    <mergeCell ref="L116:M116"/>
    <mergeCell ref="N116:O116"/>
    <mergeCell ref="A117:B117"/>
    <mergeCell ref="C117:E117"/>
    <mergeCell ref="I117:K117"/>
    <mergeCell ref="L117:M117"/>
    <mergeCell ref="N117:O117"/>
    <mergeCell ref="A114:B114"/>
    <mergeCell ref="C114:E114"/>
    <mergeCell ref="I114:K114"/>
    <mergeCell ref="L114:M114"/>
    <mergeCell ref="N114:O114"/>
    <mergeCell ref="A115:B115"/>
    <mergeCell ref="C115:E115"/>
    <mergeCell ref="I115:K115"/>
    <mergeCell ref="L115:M115"/>
    <mergeCell ref="N115:O115"/>
    <mergeCell ref="A112:B112"/>
    <mergeCell ref="C112:E112"/>
    <mergeCell ref="I112:K112"/>
    <mergeCell ref="L112:M112"/>
    <mergeCell ref="N112:O112"/>
    <mergeCell ref="A113:B113"/>
    <mergeCell ref="C113:E113"/>
    <mergeCell ref="I113:K113"/>
    <mergeCell ref="L113:M113"/>
    <mergeCell ref="N113:O113"/>
    <mergeCell ref="A110:B110"/>
    <mergeCell ref="C110:E110"/>
    <mergeCell ref="I110:K110"/>
    <mergeCell ref="L110:M110"/>
    <mergeCell ref="N110:O110"/>
    <mergeCell ref="A111:B111"/>
    <mergeCell ref="C111:E111"/>
    <mergeCell ref="I111:K111"/>
    <mergeCell ref="L111:M111"/>
    <mergeCell ref="N111:O111"/>
    <mergeCell ref="A108:B108"/>
    <mergeCell ref="C108:E108"/>
    <mergeCell ref="I108:K108"/>
    <mergeCell ref="L108:M108"/>
    <mergeCell ref="N108:O108"/>
    <mergeCell ref="A109:B109"/>
    <mergeCell ref="C109:E109"/>
    <mergeCell ref="I109:K109"/>
    <mergeCell ref="L109:M109"/>
    <mergeCell ref="N109:O109"/>
    <mergeCell ref="A106:B106"/>
    <mergeCell ref="C106:E106"/>
    <mergeCell ref="I106:K106"/>
    <mergeCell ref="L106:M106"/>
    <mergeCell ref="N106:O106"/>
    <mergeCell ref="A107:B107"/>
    <mergeCell ref="C107:E107"/>
    <mergeCell ref="I107:K107"/>
    <mergeCell ref="L107:M107"/>
    <mergeCell ref="N107:O107"/>
    <mergeCell ref="A104:B104"/>
    <mergeCell ref="C104:E104"/>
    <mergeCell ref="I104:K104"/>
    <mergeCell ref="L104:M104"/>
    <mergeCell ref="N104:O104"/>
    <mergeCell ref="A105:B105"/>
    <mergeCell ref="C105:E105"/>
    <mergeCell ref="I105:K105"/>
    <mergeCell ref="L105:M105"/>
    <mergeCell ref="N105:O105"/>
    <mergeCell ref="A102:B102"/>
    <mergeCell ref="C102:E102"/>
    <mergeCell ref="I102:K102"/>
    <mergeCell ref="L102:M102"/>
    <mergeCell ref="N102:O102"/>
    <mergeCell ref="A103:B103"/>
    <mergeCell ref="C103:E103"/>
    <mergeCell ref="I103:K103"/>
    <mergeCell ref="L103:M103"/>
    <mergeCell ref="N103:O103"/>
    <mergeCell ref="A100:B100"/>
    <mergeCell ref="C100:E100"/>
    <mergeCell ref="I100:K100"/>
    <mergeCell ref="L100:M100"/>
    <mergeCell ref="N100:O100"/>
    <mergeCell ref="A101:B101"/>
    <mergeCell ref="C101:E101"/>
    <mergeCell ref="I101:K101"/>
    <mergeCell ref="L101:M101"/>
    <mergeCell ref="N101:O101"/>
    <mergeCell ref="A98:B98"/>
    <mergeCell ref="C98:E98"/>
    <mergeCell ref="I98:K98"/>
    <mergeCell ref="L98:M98"/>
    <mergeCell ref="N98:O98"/>
    <mergeCell ref="A99:B99"/>
    <mergeCell ref="C99:E99"/>
    <mergeCell ref="I99:K99"/>
    <mergeCell ref="L99:M99"/>
    <mergeCell ref="N99:O99"/>
    <mergeCell ref="A96:B96"/>
    <mergeCell ref="C96:E96"/>
    <mergeCell ref="I96:K96"/>
    <mergeCell ref="L96:M96"/>
    <mergeCell ref="N96:O96"/>
    <mergeCell ref="A97:B97"/>
    <mergeCell ref="C97:E97"/>
    <mergeCell ref="I97:K97"/>
    <mergeCell ref="L97:M97"/>
    <mergeCell ref="N97:O97"/>
    <mergeCell ref="A94:B94"/>
    <mergeCell ref="C94:E94"/>
    <mergeCell ref="I94:K94"/>
    <mergeCell ref="L94:M94"/>
    <mergeCell ref="N94:O94"/>
    <mergeCell ref="A95:B95"/>
    <mergeCell ref="C95:E95"/>
    <mergeCell ref="I95:K95"/>
    <mergeCell ref="L95:M95"/>
    <mergeCell ref="N95:O95"/>
    <mergeCell ref="A92:B92"/>
    <mergeCell ref="C92:E92"/>
    <mergeCell ref="I92:K92"/>
    <mergeCell ref="L92:M92"/>
    <mergeCell ref="N92:O92"/>
    <mergeCell ref="A93:B93"/>
    <mergeCell ref="C93:E93"/>
    <mergeCell ref="I93:K93"/>
    <mergeCell ref="L93:M93"/>
    <mergeCell ref="N93:O93"/>
    <mergeCell ref="A90:B90"/>
    <mergeCell ref="C90:E90"/>
    <mergeCell ref="I90:K90"/>
    <mergeCell ref="L90:M90"/>
    <mergeCell ref="N90:O90"/>
    <mergeCell ref="A91:B91"/>
    <mergeCell ref="C91:E91"/>
    <mergeCell ref="I91:K91"/>
    <mergeCell ref="L91:M91"/>
    <mergeCell ref="N91:O91"/>
    <mergeCell ref="A88:B88"/>
    <mergeCell ref="C88:E88"/>
    <mergeCell ref="I88:K88"/>
    <mergeCell ref="L88:M88"/>
    <mergeCell ref="N88:O88"/>
    <mergeCell ref="A89:B89"/>
    <mergeCell ref="C89:E89"/>
    <mergeCell ref="I89:K89"/>
    <mergeCell ref="L89:M89"/>
    <mergeCell ref="N89:O89"/>
    <mergeCell ref="A86:B86"/>
    <mergeCell ref="C86:E86"/>
    <mergeCell ref="I86:K86"/>
    <mergeCell ref="L86:M86"/>
    <mergeCell ref="N86:O86"/>
    <mergeCell ref="A87:B87"/>
    <mergeCell ref="C87:E87"/>
    <mergeCell ref="I87:K87"/>
    <mergeCell ref="L87:M87"/>
    <mergeCell ref="N87:O87"/>
    <mergeCell ref="A84:B84"/>
    <mergeCell ref="C84:E84"/>
    <mergeCell ref="I84:K84"/>
    <mergeCell ref="L84:M84"/>
    <mergeCell ref="N84:O84"/>
    <mergeCell ref="A85:B85"/>
    <mergeCell ref="C85:E85"/>
    <mergeCell ref="I85:K85"/>
    <mergeCell ref="L85:M85"/>
    <mergeCell ref="N85:O85"/>
    <mergeCell ref="A82:B82"/>
    <mergeCell ref="C82:E82"/>
    <mergeCell ref="I82:K82"/>
    <mergeCell ref="L82:M82"/>
    <mergeCell ref="N82:O82"/>
    <mergeCell ref="A83:B83"/>
    <mergeCell ref="C83:E83"/>
    <mergeCell ref="I83:K83"/>
    <mergeCell ref="L83:M83"/>
    <mergeCell ref="N83:O83"/>
    <mergeCell ref="A80:B80"/>
    <mergeCell ref="C80:E80"/>
    <mergeCell ref="I80:K80"/>
    <mergeCell ref="L80:M80"/>
    <mergeCell ref="N80:O80"/>
    <mergeCell ref="A81:B81"/>
    <mergeCell ref="C81:E81"/>
    <mergeCell ref="I81:K81"/>
    <mergeCell ref="L81:M81"/>
    <mergeCell ref="N81:O81"/>
    <mergeCell ref="A78:B78"/>
    <mergeCell ref="C78:E78"/>
    <mergeCell ref="I78:K78"/>
    <mergeCell ref="L78:M78"/>
    <mergeCell ref="N78:O78"/>
    <mergeCell ref="A79:B79"/>
    <mergeCell ref="C79:E79"/>
    <mergeCell ref="I79:K79"/>
    <mergeCell ref="L79:M79"/>
    <mergeCell ref="N79:O79"/>
    <mergeCell ref="A76:B76"/>
    <mergeCell ref="C76:E76"/>
    <mergeCell ref="I76:K76"/>
    <mergeCell ref="L76:M76"/>
    <mergeCell ref="N76:O76"/>
    <mergeCell ref="A77:B77"/>
    <mergeCell ref="C77:E77"/>
    <mergeCell ref="I77:K77"/>
    <mergeCell ref="L77:M77"/>
    <mergeCell ref="N77:O77"/>
    <mergeCell ref="A74:B74"/>
    <mergeCell ref="C74:E74"/>
    <mergeCell ref="I74:K74"/>
    <mergeCell ref="L74:M74"/>
    <mergeCell ref="N74:O74"/>
    <mergeCell ref="A75:B75"/>
    <mergeCell ref="C75:E75"/>
    <mergeCell ref="I75:K75"/>
    <mergeCell ref="L75:M75"/>
    <mergeCell ref="N75:O75"/>
    <mergeCell ref="A72:B72"/>
    <mergeCell ref="C72:E72"/>
    <mergeCell ref="I72:K72"/>
    <mergeCell ref="L72:M72"/>
    <mergeCell ref="N72:O72"/>
    <mergeCell ref="A73:B73"/>
    <mergeCell ref="C73:E73"/>
    <mergeCell ref="I73:K73"/>
    <mergeCell ref="L73:M73"/>
    <mergeCell ref="N73:O73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68:B68"/>
    <mergeCell ref="C68:E68"/>
    <mergeCell ref="I68:K68"/>
    <mergeCell ref="L68:M68"/>
    <mergeCell ref="N68:O68"/>
    <mergeCell ref="A69:B69"/>
    <mergeCell ref="C69:E69"/>
    <mergeCell ref="I69:K69"/>
    <mergeCell ref="L69:M69"/>
    <mergeCell ref="N69:O69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64:B64"/>
    <mergeCell ref="C64:E64"/>
    <mergeCell ref="I64:K64"/>
    <mergeCell ref="L64:M64"/>
    <mergeCell ref="N64:O64"/>
    <mergeCell ref="A65:B65"/>
    <mergeCell ref="C65:E65"/>
    <mergeCell ref="I65:K65"/>
    <mergeCell ref="L65:M65"/>
    <mergeCell ref="N65:O65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  <mergeCell ref="A3:A6"/>
    <mergeCell ref="C3:H3"/>
    <mergeCell ref="I3:I6"/>
    <mergeCell ref="K3:P3"/>
    <mergeCell ref="C4:F4"/>
  </mergeCells>
  <phoneticPr fontId="6" type="noConversion"/>
  <pageMargins left="0.7" right="0.7" top="0.75" bottom="0.75" header="0.3" footer="0.3"/>
  <pageSetup paperSize="9" scale="89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FE84-3C55-45D9-B8CE-49408AB44BA5}">
  <sheetPr>
    <pageSetUpPr fitToPage="1"/>
  </sheetPr>
  <dimension ref="A1:P83"/>
  <sheetViews>
    <sheetView tabSelected="1" topLeftCell="A64" workbookViewId="0">
      <selection activeCell="S9" sqref="S9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52</v>
      </c>
      <c r="D9" s="14"/>
      <c r="E9" s="14"/>
      <c r="F9" s="4" t="s">
        <v>32</v>
      </c>
      <c r="G9" s="4" t="s">
        <v>33</v>
      </c>
      <c r="H9" s="5">
        <v>40</v>
      </c>
      <c r="I9" s="15">
        <v>1974</v>
      </c>
      <c r="J9" s="15"/>
      <c r="K9" s="15"/>
      <c r="L9" s="15">
        <v>71800</v>
      </c>
      <c r="M9" s="15"/>
      <c r="N9" s="15">
        <v>7180</v>
      </c>
      <c r="O9" s="15"/>
      <c r="P9" s="6">
        <v>78980</v>
      </c>
    </row>
    <row r="10" spans="1:16" x14ac:dyDescent="0.3">
      <c r="A10" s="14" t="s">
        <v>30</v>
      </c>
      <c r="B10" s="14"/>
      <c r="C10" s="14" t="s">
        <v>53</v>
      </c>
      <c r="D10" s="14"/>
      <c r="E10" s="14"/>
      <c r="F10" s="4" t="s">
        <v>54</v>
      </c>
      <c r="G10" s="4" t="s">
        <v>33</v>
      </c>
      <c r="H10" s="5">
        <v>53</v>
      </c>
      <c r="I10" s="15">
        <v>1964</v>
      </c>
      <c r="J10" s="15"/>
      <c r="K10" s="15"/>
      <c r="L10" s="15">
        <v>94629</v>
      </c>
      <c r="M10" s="15"/>
      <c r="N10" s="15">
        <v>9463</v>
      </c>
      <c r="O10" s="15"/>
      <c r="P10" s="6">
        <v>104092</v>
      </c>
    </row>
    <row r="11" spans="1:16" x14ac:dyDescent="0.3">
      <c r="A11" s="14" t="s">
        <v>30</v>
      </c>
      <c r="B11" s="14"/>
      <c r="C11" s="14" t="s">
        <v>55</v>
      </c>
      <c r="D11" s="14"/>
      <c r="E11" s="14"/>
      <c r="F11" s="4" t="s">
        <v>32</v>
      </c>
      <c r="G11" s="4" t="s">
        <v>33</v>
      </c>
      <c r="H11" s="5">
        <v>57</v>
      </c>
      <c r="I11" s="15">
        <v>1974</v>
      </c>
      <c r="J11" s="15"/>
      <c r="K11" s="15"/>
      <c r="L11" s="15">
        <v>102289</v>
      </c>
      <c r="M11" s="15"/>
      <c r="N11" s="15">
        <v>10229</v>
      </c>
      <c r="O11" s="15"/>
      <c r="P11" s="6">
        <v>112518</v>
      </c>
    </row>
    <row r="12" spans="1:16" x14ac:dyDescent="0.3">
      <c r="A12" s="14" t="s">
        <v>56</v>
      </c>
      <c r="B12" s="14"/>
      <c r="C12" s="14" t="s">
        <v>57</v>
      </c>
      <c r="D12" s="14"/>
      <c r="E12" s="14"/>
      <c r="F12" s="4" t="s">
        <v>58</v>
      </c>
      <c r="G12" s="4" t="s">
        <v>33</v>
      </c>
      <c r="H12" s="5">
        <v>1</v>
      </c>
      <c r="I12" s="15">
        <v>4000</v>
      </c>
      <c r="J12" s="15"/>
      <c r="K12" s="15"/>
      <c r="L12" s="15">
        <v>3636</v>
      </c>
      <c r="M12" s="15"/>
      <c r="N12" s="15">
        <v>364</v>
      </c>
      <c r="O12" s="15"/>
      <c r="P12" s="6">
        <v>4000</v>
      </c>
    </row>
    <row r="13" spans="1:16" x14ac:dyDescent="0.3">
      <c r="A13" s="14" t="s">
        <v>56</v>
      </c>
      <c r="B13" s="14"/>
      <c r="C13" s="14" t="s">
        <v>59</v>
      </c>
      <c r="D13" s="14"/>
      <c r="E13" s="14"/>
      <c r="F13" s="4" t="s">
        <v>32</v>
      </c>
      <c r="G13" s="4" t="s">
        <v>33</v>
      </c>
      <c r="H13" s="5">
        <v>59</v>
      </c>
      <c r="I13" s="15">
        <v>1974</v>
      </c>
      <c r="J13" s="15"/>
      <c r="K13" s="15"/>
      <c r="L13" s="15">
        <v>105878</v>
      </c>
      <c r="M13" s="15"/>
      <c r="N13" s="15">
        <v>10588</v>
      </c>
      <c r="O13" s="15"/>
      <c r="P13" s="6">
        <v>116466</v>
      </c>
    </row>
    <row r="14" spans="1:16" x14ac:dyDescent="0.3">
      <c r="A14" s="14" t="s">
        <v>56</v>
      </c>
      <c r="B14" s="14"/>
      <c r="C14" s="14" t="s">
        <v>60</v>
      </c>
      <c r="D14" s="14"/>
      <c r="E14" s="14"/>
      <c r="F14" s="4" t="s">
        <v>32</v>
      </c>
      <c r="G14" s="4" t="s">
        <v>33</v>
      </c>
      <c r="H14" s="5">
        <v>90</v>
      </c>
      <c r="I14" s="15">
        <v>1974</v>
      </c>
      <c r="J14" s="15"/>
      <c r="K14" s="15"/>
      <c r="L14" s="15">
        <v>161509</v>
      </c>
      <c r="M14" s="15"/>
      <c r="N14" s="15">
        <v>16151</v>
      </c>
      <c r="O14" s="15"/>
      <c r="P14" s="6">
        <v>177660</v>
      </c>
    </row>
    <row r="15" spans="1:16" x14ac:dyDescent="0.3">
      <c r="A15" s="14" t="s">
        <v>56</v>
      </c>
      <c r="B15" s="14"/>
      <c r="C15" s="14" t="s">
        <v>61</v>
      </c>
      <c r="D15" s="14"/>
      <c r="E15" s="14"/>
      <c r="F15" s="4" t="s">
        <v>32</v>
      </c>
      <c r="G15" s="4" t="s">
        <v>33</v>
      </c>
      <c r="H15" s="5">
        <v>80</v>
      </c>
      <c r="I15" s="15">
        <v>1974</v>
      </c>
      <c r="J15" s="15"/>
      <c r="K15" s="15"/>
      <c r="L15" s="15">
        <v>143564</v>
      </c>
      <c r="M15" s="15"/>
      <c r="N15" s="15">
        <v>14356</v>
      </c>
      <c r="O15" s="15"/>
      <c r="P15" s="6">
        <v>157920</v>
      </c>
    </row>
    <row r="16" spans="1:16" x14ac:dyDescent="0.3">
      <c r="A16" s="14" t="s">
        <v>56</v>
      </c>
      <c r="B16" s="14"/>
      <c r="C16" s="14" t="s">
        <v>57</v>
      </c>
      <c r="D16" s="14"/>
      <c r="E16" s="14"/>
      <c r="F16" s="4" t="s">
        <v>32</v>
      </c>
      <c r="G16" s="4" t="s">
        <v>33</v>
      </c>
      <c r="H16" s="5">
        <v>112</v>
      </c>
      <c r="I16" s="15">
        <v>1974</v>
      </c>
      <c r="J16" s="15"/>
      <c r="K16" s="15"/>
      <c r="L16" s="15">
        <v>200989</v>
      </c>
      <c r="M16" s="15"/>
      <c r="N16" s="15">
        <v>20099</v>
      </c>
      <c r="O16" s="15"/>
      <c r="P16" s="6">
        <v>221088</v>
      </c>
    </row>
    <row r="17" spans="1:16" x14ac:dyDescent="0.3">
      <c r="A17" s="14" t="s">
        <v>39</v>
      </c>
      <c r="B17" s="14"/>
      <c r="C17" s="14" t="s">
        <v>62</v>
      </c>
      <c r="D17" s="14"/>
      <c r="E17" s="14"/>
      <c r="F17" s="4" t="s">
        <v>32</v>
      </c>
      <c r="G17" s="4" t="s">
        <v>33</v>
      </c>
      <c r="H17" s="5">
        <v>101</v>
      </c>
      <c r="I17" s="15">
        <v>1974</v>
      </c>
      <c r="J17" s="15"/>
      <c r="K17" s="15"/>
      <c r="L17" s="15">
        <v>181249</v>
      </c>
      <c r="M17" s="15"/>
      <c r="N17" s="15">
        <v>18125</v>
      </c>
      <c r="O17" s="15"/>
      <c r="P17" s="6">
        <v>199374</v>
      </c>
    </row>
    <row r="18" spans="1:16" x14ac:dyDescent="0.3">
      <c r="A18" s="14" t="s">
        <v>39</v>
      </c>
      <c r="B18" s="14"/>
      <c r="C18" s="14" t="s">
        <v>63</v>
      </c>
      <c r="D18" s="14"/>
      <c r="E18" s="14"/>
      <c r="F18" s="4" t="s">
        <v>32</v>
      </c>
      <c r="G18" s="4" t="s">
        <v>33</v>
      </c>
      <c r="H18" s="5">
        <v>92</v>
      </c>
      <c r="I18" s="15">
        <v>1974</v>
      </c>
      <c r="J18" s="15"/>
      <c r="K18" s="15"/>
      <c r="L18" s="15">
        <v>165098</v>
      </c>
      <c r="M18" s="15"/>
      <c r="N18" s="15">
        <v>16510</v>
      </c>
      <c r="O18" s="15"/>
      <c r="P18" s="6">
        <v>181608</v>
      </c>
    </row>
    <row r="19" spans="1:16" x14ac:dyDescent="0.3">
      <c r="A19" s="14" t="s">
        <v>39</v>
      </c>
      <c r="B19" s="14"/>
      <c r="C19" s="14" t="s">
        <v>64</v>
      </c>
      <c r="D19" s="14"/>
      <c r="E19" s="14"/>
      <c r="F19" s="4" t="s">
        <v>32</v>
      </c>
      <c r="G19" s="4" t="s">
        <v>33</v>
      </c>
      <c r="H19" s="5">
        <v>74</v>
      </c>
      <c r="I19" s="15">
        <v>1974</v>
      </c>
      <c r="J19" s="15"/>
      <c r="K19" s="15"/>
      <c r="L19" s="15">
        <v>132796</v>
      </c>
      <c r="M19" s="15"/>
      <c r="N19" s="15">
        <v>13280</v>
      </c>
      <c r="O19" s="15"/>
      <c r="P19" s="6">
        <v>146076</v>
      </c>
    </row>
    <row r="20" spans="1:16" x14ac:dyDescent="0.3">
      <c r="A20" s="14" t="s">
        <v>65</v>
      </c>
      <c r="B20" s="14"/>
      <c r="C20" s="14" t="s">
        <v>66</v>
      </c>
      <c r="D20" s="14"/>
      <c r="E20" s="14"/>
      <c r="F20" s="4" t="s">
        <v>32</v>
      </c>
      <c r="G20" s="4" t="s">
        <v>33</v>
      </c>
      <c r="H20" s="5">
        <v>162</v>
      </c>
      <c r="I20" s="15">
        <v>1974</v>
      </c>
      <c r="J20" s="15"/>
      <c r="K20" s="15"/>
      <c r="L20" s="15">
        <v>290716</v>
      </c>
      <c r="M20" s="15"/>
      <c r="N20" s="15">
        <v>29072</v>
      </c>
      <c r="O20" s="15"/>
      <c r="P20" s="6">
        <v>319788</v>
      </c>
    </row>
    <row r="21" spans="1:16" x14ac:dyDescent="0.3">
      <c r="A21" s="14" t="s">
        <v>65</v>
      </c>
      <c r="B21" s="14"/>
      <c r="C21" s="14" t="s">
        <v>43</v>
      </c>
      <c r="D21" s="14"/>
      <c r="E21" s="14"/>
      <c r="F21" s="4" t="s">
        <v>32</v>
      </c>
      <c r="G21" s="4" t="s">
        <v>33</v>
      </c>
      <c r="H21" s="5">
        <v>48</v>
      </c>
      <c r="I21" s="15">
        <v>1974</v>
      </c>
      <c r="J21" s="15"/>
      <c r="K21" s="15"/>
      <c r="L21" s="15">
        <v>86138</v>
      </c>
      <c r="M21" s="15"/>
      <c r="N21" s="15">
        <v>8614</v>
      </c>
      <c r="O21" s="15"/>
      <c r="P21" s="6">
        <v>94752</v>
      </c>
    </row>
    <row r="22" spans="1:16" x14ac:dyDescent="0.3">
      <c r="A22" s="14" t="s">
        <v>65</v>
      </c>
      <c r="B22" s="14"/>
      <c r="C22" s="14" t="s">
        <v>67</v>
      </c>
      <c r="D22" s="14"/>
      <c r="E22" s="14"/>
      <c r="F22" s="4" t="s">
        <v>32</v>
      </c>
      <c r="G22" s="4" t="s">
        <v>33</v>
      </c>
      <c r="H22" s="5">
        <v>50</v>
      </c>
      <c r="I22" s="15">
        <v>1974</v>
      </c>
      <c r="J22" s="15"/>
      <c r="K22" s="15"/>
      <c r="L22" s="15">
        <v>89727</v>
      </c>
      <c r="M22" s="15"/>
      <c r="N22" s="15">
        <v>8973</v>
      </c>
      <c r="O22" s="15"/>
      <c r="P22" s="6">
        <v>98700</v>
      </c>
    </row>
    <row r="23" spans="1:16" x14ac:dyDescent="0.3">
      <c r="A23" s="14" t="s">
        <v>65</v>
      </c>
      <c r="B23" s="14"/>
      <c r="C23" s="14" t="s">
        <v>61</v>
      </c>
      <c r="D23" s="14"/>
      <c r="E23" s="14"/>
      <c r="F23" s="4" t="s">
        <v>32</v>
      </c>
      <c r="G23" s="4" t="s">
        <v>33</v>
      </c>
      <c r="H23" s="5">
        <v>76</v>
      </c>
      <c r="I23" s="15">
        <v>1974</v>
      </c>
      <c r="J23" s="15"/>
      <c r="K23" s="15"/>
      <c r="L23" s="15">
        <v>136385</v>
      </c>
      <c r="M23" s="15"/>
      <c r="N23" s="15">
        <v>13639</v>
      </c>
      <c r="O23" s="15"/>
      <c r="P23" s="6">
        <v>150024</v>
      </c>
    </row>
    <row r="24" spans="1:16" x14ac:dyDescent="0.3">
      <c r="A24" s="14" t="s">
        <v>40</v>
      </c>
      <c r="B24" s="14"/>
      <c r="C24" s="14" t="s">
        <v>59</v>
      </c>
      <c r="D24" s="14"/>
      <c r="E24" s="14"/>
      <c r="F24" s="4" t="s">
        <v>32</v>
      </c>
      <c r="G24" s="4" t="s">
        <v>33</v>
      </c>
      <c r="H24" s="5">
        <v>98</v>
      </c>
      <c r="I24" s="15">
        <v>1974</v>
      </c>
      <c r="J24" s="15"/>
      <c r="K24" s="15"/>
      <c r="L24" s="15">
        <v>175865</v>
      </c>
      <c r="M24" s="15"/>
      <c r="N24" s="15">
        <v>17587</v>
      </c>
      <c r="O24" s="15"/>
      <c r="P24" s="6">
        <v>193452</v>
      </c>
    </row>
    <row r="25" spans="1:16" x14ac:dyDescent="0.3">
      <c r="A25" s="14" t="s">
        <v>40</v>
      </c>
      <c r="B25" s="14"/>
      <c r="C25" s="14" t="s">
        <v>59</v>
      </c>
      <c r="D25" s="14"/>
      <c r="E25" s="14"/>
      <c r="F25" s="4" t="s">
        <v>32</v>
      </c>
      <c r="G25" s="4" t="s">
        <v>33</v>
      </c>
      <c r="H25" s="5">
        <v>58</v>
      </c>
      <c r="I25" s="15">
        <v>1974</v>
      </c>
      <c r="J25" s="15"/>
      <c r="K25" s="15"/>
      <c r="L25" s="15">
        <v>104084</v>
      </c>
      <c r="M25" s="15"/>
      <c r="N25" s="15">
        <v>10408</v>
      </c>
      <c r="O25" s="15"/>
      <c r="P25" s="6">
        <v>114492</v>
      </c>
    </row>
    <row r="26" spans="1:16" x14ac:dyDescent="0.3">
      <c r="A26" s="14" t="s">
        <v>68</v>
      </c>
      <c r="B26" s="14"/>
      <c r="C26" s="14" t="s">
        <v>57</v>
      </c>
      <c r="D26" s="14"/>
      <c r="E26" s="14"/>
      <c r="F26" s="4" t="s">
        <v>32</v>
      </c>
      <c r="G26" s="4" t="s">
        <v>33</v>
      </c>
      <c r="H26" s="5">
        <v>104</v>
      </c>
      <c r="I26" s="15">
        <v>1979</v>
      </c>
      <c r="J26" s="15"/>
      <c r="K26" s="15"/>
      <c r="L26" s="15">
        <v>187105</v>
      </c>
      <c r="M26" s="15"/>
      <c r="N26" s="15">
        <v>18711</v>
      </c>
      <c r="O26" s="15"/>
      <c r="P26" s="6">
        <v>205816</v>
      </c>
    </row>
    <row r="27" spans="1:16" x14ac:dyDescent="0.3">
      <c r="A27" s="14" t="s">
        <v>69</v>
      </c>
      <c r="B27" s="14"/>
      <c r="C27" s="14" t="s">
        <v>64</v>
      </c>
      <c r="D27" s="14"/>
      <c r="E27" s="14"/>
      <c r="F27" s="4" t="s">
        <v>32</v>
      </c>
      <c r="G27" s="4" t="s">
        <v>33</v>
      </c>
      <c r="H27" s="5">
        <v>75</v>
      </c>
      <c r="I27" s="15">
        <v>1979</v>
      </c>
      <c r="J27" s="15"/>
      <c r="K27" s="15"/>
      <c r="L27" s="15">
        <v>134932</v>
      </c>
      <c r="M27" s="15"/>
      <c r="N27" s="15">
        <v>13493</v>
      </c>
      <c r="O27" s="15"/>
      <c r="P27" s="6">
        <v>148425</v>
      </c>
    </row>
    <row r="28" spans="1:16" x14ac:dyDescent="0.3">
      <c r="A28" s="14" t="s">
        <v>69</v>
      </c>
      <c r="B28" s="14"/>
      <c r="C28" s="14" t="s">
        <v>60</v>
      </c>
      <c r="D28" s="14"/>
      <c r="E28" s="14"/>
      <c r="F28" s="4" t="s">
        <v>32</v>
      </c>
      <c r="G28" s="4" t="s">
        <v>33</v>
      </c>
      <c r="H28" s="5">
        <v>100</v>
      </c>
      <c r="I28" s="15">
        <v>1979</v>
      </c>
      <c r="J28" s="15"/>
      <c r="K28" s="15"/>
      <c r="L28" s="15">
        <v>179909</v>
      </c>
      <c r="M28" s="15"/>
      <c r="N28" s="15">
        <v>17991</v>
      </c>
      <c r="O28" s="15"/>
      <c r="P28" s="6">
        <v>197900</v>
      </c>
    </row>
    <row r="29" spans="1:16" x14ac:dyDescent="0.3">
      <c r="A29" s="14" t="s">
        <v>41</v>
      </c>
      <c r="B29" s="14"/>
      <c r="C29" s="14" t="s">
        <v>66</v>
      </c>
      <c r="D29" s="14"/>
      <c r="E29" s="14"/>
      <c r="F29" s="4" t="s">
        <v>32</v>
      </c>
      <c r="G29" s="4" t="s">
        <v>33</v>
      </c>
      <c r="H29" s="5">
        <v>138</v>
      </c>
      <c r="I29" s="15">
        <v>1979</v>
      </c>
      <c r="J29" s="15"/>
      <c r="K29" s="15"/>
      <c r="L29" s="15">
        <v>248275</v>
      </c>
      <c r="M29" s="15"/>
      <c r="N29" s="15">
        <v>24827</v>
      </c>
      <c r="O29" s="15"/>
      <c r="P29" s="6">
        <v>273102</v>
      </c>
    </row>
    <row r="30" spans="1:16" x14ac:dyDescent="0.3">
      <c r="A30" s="14" t="s">
        <v>41</v>
      </c>
      <c r="B30" s="14"/>
      <c r="C30" s="14" t="s">
        <v>63</v>
      </c>
      <c r="D30" s="14"/>
      <c r="E30" s="14"/>
      <c r="F30" s="4" t="s">
        <v>32</v>
      </c>
      <c r="G30" s="4" t="s">
        <v>33</v>
      </c>
      <c r="H30" s="5">
        <v>106</v>
      </c>
      <c r="I30" s="15">
        <v>1979</v>
      </c>
      <c r="J30" s="15"/>
      <c r="K30" s="15"/>
      <c r="L30" s="15">
        <v>190704</v>
      </c>
      <c r="M30" s="15"/>
      <c r="N30" s="15">
        <v>19070</v>
      </c>
      <c r="O30" s="15"/>
      <c r="P30" s="6">
        <v>209774</v>
      </c>
    </row>
    <row r="31" spans="1:16" x14ac:dyDescent="0.3">
      <c r="A31" s="14" t="s">
        <v>41</v>
      </c>
      <c r="B31" s="14"/>
      <c r="C31" s="14" t="s">
        <v>61</v>
      </c>
      <c r="D31" s="14"/>
      <c r="E31" s="14"/>
      <c r="F31" s="4" t="s">
        <v>32</v>
      </c>
      <c r="G31" s="4" t="s">
        <v>33</v>
      </c>
      <c r="H31" s="5">
        <v>74</v>
      </c>
      <c r="I31" s="15">
        <v>1979</v>
      </c>
      <c r="J31" s="15"/>
      <c r="K31" s="15"/>
      <c r="L31" s="15">
        <v>133133</v>
      </c>
      <c r="M31" s="15"/>
      <c r="N31" s="15">
        <v>13313</v>
      </c>
      <c r="O31" s="15"/>
      <c r="P31" s="6">
        <v>146446</v>
      </c>
    </row>
    <row r="32" spans="1:16" x14ac:dyDescent="0.3">
      <c r="A32" s="14" t="s">
        <v>70</v>
      </c>
      <c r="B32" s="14"/>
      <c r="C32" s="14" t="s">
        <v>62</v>
      </c>
      <c r="D32" s="14"/>
      <c r="E32" s="14"/>
      <c r="F32" s="4" t="s">
        <v>32</v>
      </c>
      <c r="G32" s="4" t="s">
        <v>33</v>
      </c>
      <c r="H32" s="5">
        <v>100</v>
      </c>
      <c r="I32" s="15">
        <v>1979</v>
      </c>
      <c r="J32" s="15"/>
      <c r="K32" s="15"/>
      <c r="L32" s="15">
        <v>179909</v>
      </c>
      <c r="M32" s="15"/>
      <c r="N32" s="15">
        <v>17991</v>
      </c>
      <c r="O32" s="15"/>
      <c r="P32" s="6">
        <v>197900</v>
      </c>
    </row>
    <row r="33" spans="1:16" x14ac:dyDescent="0.3">
      <c r="A33" s="14" t="s">
        <v>70</v>
      </c>
      <c r="B33" s="14"/>
      <c r="C33" s="14" t="s">
        <v>71</v>
      </c>
      <c r="D33" s="14"/>
      <c r="E33" s="14"/>
      <c r="F33" s="4" t="s">
        <v>32</v>
      </c>
      <c r="G33" s="4" t="s">
        <v>33</v>
      </c>
      <c r="H33" s="5">
        <v>58</v>
      </c>
      <c r="I33" s="15">
        <v>1979</v>
      </c>
      <c r="J33" s="15"/>
      <c r="K33" s="15"/>
      <c r="L33" s="15">
        <v>104347</v>
      </c>
      <c r="M33" s="15"/>
      <c r="N33" s="15">
        <v>10435</v>
      </c>
      <c r="O33" s="15"/>
      <c r="P33" s="6">
        <v>114782</v>
      </c>
    </row>
    <row r="34" spans="1:16" x14ac:dyDescent="0.3">
      <c r="A34" s="14" t="s">
        <v>70</v>
      </c>
      <c r="B34" s="14"/>
      <c r="C34" s="14" t="s">
        <v>72</v>
      </c>
      <c r="D34" s="14"/>
      <c r="E34" s="14"/>
      <c r="F34" s="4" t="s">
        <v>32</v>
      </c>
      <c r="G34" s="4" t="s">
        <v>33</v>
      </c>
      <c r="H34" s="5">
        <v>50</v>
      </c>
      <c r="I34" s="15">
        <v>1979</v>
      </c>
      <c r="J34" s="15"/>
      <c r="K34" s="15"/>
      <c r="L34" s="15">
        <v>89955</v>
      </c>
      <c r="M34" s="15"/>
      <c r="N34" s="15">
        <v>8995</v>
      </c>
      <c r="O34" s="15"/>
      <c r="P34" s="6">
        <v>98950</v>
      </c>
    </row>
    <row r="35" spans="1:16" x14ac:dyDescent="0.3">
      <c r="A35" s="14" t="s">
        <v>70</v>
      </c>
      <c r="B35" s="14"/>
      <c r="C35" s="14" t="s">
        <v>64</v>
      </c>
      <c r="D35" s="14"/>
      <c r="E35" s="14"/>
      <c r="F35" s="4" t="s">
        <v>32</v>
      </c>
      <c r="G35" s="4" t="s">
        <v>33</v>
      </c>
      <c r="H35" s="5">
        <v>80</v>
      </c>
      <c r="I35" s="15">
        <v>1979</v>
      </c>
      <c r="J35" s="15"/>
      <c r="K35" s="15"/>
      <c r="L35" s="15">
        <v>143927</v>
      </c>
      <c r="M35" s="15"/>
      <c r="N35" s="15">
        <v>14393</v>
      </c>
      <c r="O35" s="15"/>
      <c r="P35" s="6">
        <v>158320</v>
      </c>
    </row>
    <row r="36" spans="1:16" x14ac:dyDescent="0.3">
      <c r="A36" s="14" t="s">
        <v>42</v>
      </c>
      <c r="B36" s="14"/>
      <c r="C36" s="14" t="s">
        <v>59</v>
      </c>
      <c r="D36" s="14"/>
      <c r="E36" s="14"/>
      <c r="F36" s="4" t="s">
        <v>32</v>
      </c>
      <c r="G36" s="4" t="s">
        <v>33</v>
      </c>
      <c r="H36" s="5">
        <v>98</v>
      </c>
      <c r="I36" s="15">
        <v>1979</v>
      </c>
      <c r="J36" s="15"/>
      <c r="K36" s="15"/>
      <c r="L36" s="15">
        <v>176311</v>
      </c>
      <c r="M36" s="15"/>
      <c r="N36" s="15">
        <v>17631</v>
      </c>
      <c r="O36" s="15"/>
      <c r="P36" s="6">
        <v>193942</v>
      </c>
    </row>
    <row r="37" spans="1:16" x14ac:dyDescent="0.3">
      <c r="A37" s="14" t="s">
        <v>42</v>
      </c>
      <c r="B37" s="14"/>
      <c r="C37" s="14" t="s">
        <v>61</v>
      </c>
      <c r="D37" s="14"/>
      <c r="E37" s="14"/>
      <c r="F37" s="4" t="s">
        <v>32</v>
      </c>
      <c r="G37" s="4" t="s">
        <v>33</v>
      </c>
      <c r="H37" s="5">
        <v>80</v>
      </c>
      <c r="I37" s="15">
        <v>1979</v>
      </c>
      <c r="J37" s="15"/>
      <c r="K37" s="15"/>
      <c r="L37" s="15">
        <v>143927</v>
      </c>
      <c r="M37" s="15"/>
      <c r="N37" s="15">
        <v>14393</v>
      </c>
      <c r="O37" s="15"/>
      <c r="P37" s="6">
        <v>158320</v>
      </c>
    </row>
    <row r="38" spans="1:16" x14ac:dyDescent="0.3">
      <c r="A38" s="14" t="s">
        <v>73</v>
      </c>
      <c r="B38" s="14"/>
      <c r="C38" s="14" t="s">
        <v>57</v>
      </c>
      <c r="D38" s="14"/>
      <c r="E38" s="14"/>
      <c r="F38" s="4" t="s">
        <v>32</v>
      </c>
      <c r="G38" s="4" t="s">
        <v>33</v>
      </c>
      <c r="H38" s="5">
        <v>108</v>
      </c>
      <c r="I38" s="15">
        <v>1979</v>
      </c>
      <c r="J38" s="15"/>
      <c r="K38" s="15"/>
      <c r="L38" s="15">
        <v>194302</v>
      </c>
      <c r="M38" s="15"/>
      <c r="N38" s="15">
        <v>19430</v>
      </c>
      <c r="O38" s="15"/>
      <c r="P38" s="6">
        <v>213732</v>
      </c>
    </row>
    <row r="39" spans="1:16" x14ac:dyDescent="0.3">
      <c r="A39" s="14" t="s">
        <v>73</v>
      </c>
      <c r="B39" s="14"/>
      <c r="C39" s="14" t="s">
        <v>66</v>
      </c>
      <c r="D39" s="14"/>
      <c r="E39" s="14"/>
      <c r="F39" s="4" t="s">
        <v>32</v>
      </c>
      <c r="G39" s="4" t="s">
        <v>33</v>
      </c>
      <c r="H39" s="5">
        <v>177</v>
      </c>
      <c r="I39" s="15">
        <v>1979</v>
      </c>
      <c r="J39" s="15"/>
      <c r="K39" s="15"/>
      <c r="L39" s="15">
        <v>318439</v>
      </c>
      <c r="M39" s="15"/>
      <c r="N39" s="15">
        <v>31844</v>
      </c>
      <c r="O39" s="15"/>
      <c r="P39" s="6">
        <v>350283</v>
      </c>
    </row>
    <row r="40" spans="1:16" x14ac:dyDescent="0.3">
      <c r="A40" s="14" t="s">
        <v>73</v>
      </c>
      <c r="B40" s="14"/>
      <c r="C40" s="14" t="s">
        <v>63</v>
      </c>
      <c r="D40" s="14"/>
      <c r="E40" s="14"/>
      <c r="F40" s="4" t="s">
        <v>32</v>
      </c>
      <c r="G40" s="4" t="s">
        <v>33</v>
      </c>
      <c r="H40" s="5">
        <v>110</v>
      </c>
      <c r="I40" s="15">
        <v>1979</v>
      </c>
      <c r="J40" s="15"/>
      <c r="K40" s="15"/>
      <c r="L40" s="15">
        <v>197900</v>
      </c>
      <c r="M40" s="15"/>
      <c r="N40" s="15">
        <v>19790</v>
      </c>
      <c r="O40" s="15"/>
      <c r="P40" s="6">
        <v>217690</v>
      </c>
    </row>
    <row r="41" spans="1:16" x14ac:dyDescent="0.3">
      <c r="A41" s="14" t="s">
        <v>44</v>
      </c>
      <c r="B41" s="14"/>
      <c r="C41" s="14" t="s">
        <v>64</v>
      </c>
      <c r="D41" s="14"/>
      <c r="E41" s="14"/>
      <c r="F41" s="4" t="s">
        <v>32</v>
      </c>
      <c r="G41" s="4" t="s">
        <v>33</v>
      </c>
      <c r="H41" s="5">
        <v>83</v>
      </c>
      <c r="I41" s="15">
        <v>1979</v>
      </c>
      <c r="J41" s="15"/>
      <c r="K41" s="15"/>
      <c r="L41" s="15">
        <v>149325</v>
      </c>
      <c r="M41" s="15"/>
      <c r="N41" s="15">
        <v>14932</v>
      </c>
      <c r="O41" s="15"/>
      <c r="P41" s="6">
        <v>164257</v>
      </c>
    </row>
    <row r="42" spans="1:16" x14ac:dyDescent="0.3">
      <c r="A42" s="14" t="s">
        <v>44</v>
      </c>
      <c r="B42" s="14"/>
      <c r="C42" s="14" t="s">
        <v>59</v>
      </c>
      <c r="D42" s="14"/>
      <c r="E42" s="14"/>
      <c r="F42" s="4" t="s">
        <v>32</v>
      </c>
      <c r="G42" s="4" t="s">
        <v>33</v>
      </c>
      <c r="H42" s="5">
        <v>85</v>
      </c>
      <c r="I42" s="15">
        <v>1979</v>
      </c>
      <c r="J42" s="15"/>
      <c r="K42" s="15"/>
      <c r="L42" s="15">
        <v>152923</v>
      </c>
      <c r="M42" s="15"/>
      <c r="N42" s="15">
        <v>15292</v>
      </c>
      <c r="O42" s="15"/>
      <c r="P42" s="6">
        <v>168215</v>
      </c>
    </row>
    <row r="43" spans="1:16" x14ac:dyDescent="0.3">
      <c r="A43" s="14" t="s">
        <v>44</v>
      </c>
      <c r="B43" s="14"/>
      <c r="C43" s="14" t="s">
        <v>60</v>
      </c>
      <c r="D43" s="14"/>
      <c r="E43" s="14"/>
      <c r="F43" s="4" t="s">
        <v>32</v>
      </c>
      <c r="G43" s="4" t="s">
        <v>33</v>
      </c>
      <c r="H43" s="5">
        <v>108</v>
      </c>
      <c r="I43" s="15">
        <v>1979</v>
      </c>
      <c r="J43" s="15"/>
      <c r="K43" s="15"/>
      <c r="L43" s="15">
        <v>194302</v>
      </c>
      <c r="M43" s="15"/>
      <c r="N43" s="15">
        <v>19430</v>
      </c>
      <c r="O43" s="15"/>
      <c r="P43" s="6">
        <v>213732</v>
      </c>
    </row>
    <row r="44" spans="1:16" x14ac:dyDescent="0.3">
      <c r="A44" s="14" t="s">
        <v>44</v>
      </c>
      <c r="B44" s="14"/>
      <c r="C44" s="14" t="s">
        <v>57</v>
      </c>
      <c r="D44" s="14"/>
      <c r="E44" s="14"/>
      <c r="F44" s="4" t="s">
        <v>32</v>
      </c>
      <c r="G44" s="4" t="s">
        <v>33</v>
      </c>
      <c r="H44" s="5">
        <v>70</v>
      </c>
      <c r="I44" s="15">
        <v>1979</v>
      </c>
      <c r="J44" s="15"/>
      <c r="K44" s="15"/>
      <c r="L44" s="15">
        <v>125936</v>
      </c>
      <c r="M44" s="15"/>
      <c r="N44" s="15">
        <v>12594</v>
      </c>
      <c r="O44" s="15"/>
      <c r="P44" s="6">
        <v>138530</v>
      </c>
    </row>
    <row r="45" spans="1:16" x14ac:dyDescent="0.3">
      <c r="A45" s="14" t="s">
        <v>44</v>
      </c>
      <c r="B45" s="14"/>
      <c r="C45" s="14" t="s">
        <v>61</v>
      </c>
      <c r="D45" s="14"/>
      <c r="E45" s="14"/>
      <c r="F45" s="4" t="s">
        <v>32</v>
      </c>
      <c r="G45" s="4" t="s">
        <v>33</v>
      </c>
      <c r="H45" s="5">
        <v>73</v>
      </c>
      <c r="I45" s="15">
        <v>1979</v>
      </c>
      <c r="J45" s="15"/>
      <c r="K45" s="15"/>
      <c r="L45" s="15">
        <v>131334</v>
      </c>
      <c r="M45" s="15"/>
      <c r="N45" s="15">
        <v>13133</v>
      </c>
      <c r="O45" s="15"/>
      <c r="P45" s="6">
        <v>144467</v>
      </c>
    </row>
    <row r="46" spans="1:16" x14ac:dyDescent="0.3">
      <c r="A46" s="14" t="s">
        <v>44</v>
      </c>
      <c r="B46" s="14"/>
      <c r="C46" s="14" t="s">
        <v>59</v>
      </c>
      <c r="D46" s="14"/>
      <c r="E46" s="14"/>
      <c r="F46" s="4" t="s">
        <v>32</v>
      </c>
      <c r="G46" s="4" t="s">
        <v>33</v>
      </c>
      <c r="H46" s="5">
        <v>58</v>
      </c>
      <c r="I46" s="15">
        <v>1979</v>
      </c>
      <c r="J46" s="15"/>
      <c r="K46" s="15"/>
      <c r="L46" s="15">
        <v>104347</v>
      </c>
      <c r="M46" s="15"/>
      <c r="N46" s="15">
        <v>10435</v>
      </c>
      <c r="O46" s="15"/>
      <c r="P46" s="6">
        <v>114782</v>
      </c>
    </row>
    <row r="47" spans="1:16" x14ac:dyDescent="0.3">
      <c r="A47" s="14" t="s">
        <v>45</v>
      </c>
      <c r="B47" s="14"/>
      <c r="C47" s="14" t="s">
        <v>62</v>
      </c>
      <c r="D47" s="14"/>
      <c r="E47" s="14"/>
      <c r="F47" s="4" t="s">
        <v>32</v>
      </c>
      <c r="G47" s="4" t="s">
        <v>33</v>
      </c>
      <c r="H47" s="5">
        <v>108</v>
      </c>
      <c r="I47" s="15">
        <v>1979</v>
      </c>
      <c r="J47" s="15"/>
      <c r="K47" s="15"/>
      <c r="L47" s="15">
        <v>194302</v>
      </c>
      <c r="M47" s="15"/>
      <c r="N47" s="15">
        <v>19430</v>
      </c>
      <c r="O47" s="15"/>
      <c r="P47" s="6">
        <v>213732</v>
      </c>
    </row>
    <row r="48" spans="1:16" x14ac:dyDescent="0.3">
      <c r="A48" s="14" t="s">
        <v>45</v>
      </c>
      <c r="B48" s="14"/>
      <c r="C48" s="14" t="s">
        <v>63</v>
      </c>
      <c r="D48" s="14"/>
      <c r="E48" s="14"/>
      <c r="F48" s="4" t="s">
        <v>32</v>
      </c>
      <c r="G48" s="4" t="s">
        <v>33</v>
      </c>
      <c r="H48" s="5">
        <v>74</v>
      </c>
      <c r="I48" s="15">
        <v>1979</v>
      </c>
      <c r="J48" s="15"/>
      <c r="K48" s="15"/>
      <c r="L48" s="15">
        <v>133133</v>
      </c>
      <c r="M48" s="15"/>
      <c r="N48" s="15">
        <v>13313</v>
      </c>
      <c r="O48" s="15"/>
      <c r="P48" s="6">
        <v>146446</v>
      </c>
    </row>
    <row r="49" spans="1:16" x14ac:dyDescent="0.3">
      <c r="A49" s="14" t="s">
        <v>45</v>
      </c>
      <c r="B49" s="14"/>
      <c r="C49" s="14" t="s">
        <v>66</v>
      </c>
      <c r="D49" s="14"/>
      <c r="E49" s="14"/>
      <c r="F49" s="4" t="s">
        <v>32</v>
      </c>
      <c r="G49" s="4" t="s">
        <v>33</v>
      </c>
      <c r="H49" s="5">
        <v>127</v>
      </c>
      <c r="I49" s="15">
        <v>1979</v>
      </c>
      <c r="J49" s="15"/>
      <c r="K49" s="15"/>
      <c r="L49" s="15">
        <v>228485</v>
      </c>
      <c r="M49" s="15"/>
      <c r="N49" s="15">
        <v>22848</v>
      </c>
      <c r="O49" s="15"/>
      <c r="P49" s="6">
        <v>251333</v>
      </c>
    </row>
    <row r="50" spans="1:16" x14ac:dyDescent="0.3">
      <c r="A50" s="14" t="s">
        <v>45</v>
      </c>
      <c r="B50" s="14"/>
      <c r="C50" s="14" t="s">
        <v>67</v>
      </c>
      <c r="D50" s="14"/>
      <c r="E50" s="14"/>
      <c r="F50" s="4" t="s">
        <v>32</v>
      </c>
      <c r="G50" s="4" t="s">
        <v>33</v>
      </c>
      <c r="H50" s="5">
        <v>53</v>
      </c>
      <c r="I50" s="15">
        <v>1979</v>
      </c>
      <c r="J50" s="15"/>
      <c r="K50" s="15"/>
      <c r="L50" s="15">
        <v>95352</v>
      </c>
      <c r="M50" s="15"/>
      <c r="N50" s="15">
        <v>9535</v>
      </c>
      <c r="O50" s="15"/>
      <c r="P50" s="6">
        <v>104887</v>
      </c>
    </row>
    <row r="51" spans="1:16" x14ac:dyDescent="0.3">
      <c r="A51" s="14" t="s">
        <v>46</v>
      </c>
      <c r="B51" s="14"/>
      <c r="C51" s="14" t="s">
        <v>64</v>
      </c>
      <c r="D51" s="14"/>
      <c r="E51" s="14"/>
      <c r="F51" s="4" t="s">
        <v>32</v>
      </c>
      <c r="G51" s="4" t="s">
        <v>33</v>
      </c>
      <c r="H51" s="5">
        <v>80</v>
      </c>
      <c r="I51" s="15">
        <v>1979</v>
      </c>
      <c r="J51" s="15"/>
      <c r="K51" s="15"/>
      <c r="L51" s="15">
        <v>143927</v>
      </c>
      <c r="M51" s="15"/>
      <c r="N51" s="15">
        <v>14393</v>
      </c>
      <c r="O51" s="15"/>
      <c r="P51" s="6">
        <v>158320</v>
      </c>
    </row>
    <row r="52" spans="1:16" x14ac:dyDescent="0.3">
      <c r="A52" s="14" t="s">
        <v>46</v>
      </c>
      <c r="B52" s="14"/>
      <c r="C52" s="14" t="s">
        <v>61</v>
      </c>
      <c r="D52" s="14"/>
      <c r="E52" s="14"/>
      <c r="F52" s="4" t="s">
        <v>32</v>
      </c>
      <c r="G52" s="4" t="s">
        <v>33</v>
      </c>
      <c r="H52" s="5">
        <v>77</v>
      </c>
      <c r="I52" s="15">
        <v>1979</v>
      </c>
      <c r="J52" s="15"/>
      <c r="K52" s="15"/>
      <c r="L52" s="15">
        <v>138530</v>
      </c>
      <c r="M52" s="15"/>
      <c r="N52" s="15">
        <v>13853</v>
      </c>
      <c r="O52" s="15"/>
      <c r="P52" s="6">
        <v>152383</v>
      </c>
    </row>
    <row r="53" spans="1:16" x14ac:dyDescent="0.3">
      <c r="A53" s="14" t="s">
        <v>47</v>
      </c>
      <c r="B53" s="14"/>
      <c r="C53" s="14" t="s">
        <v>59</v>
      </c>
      <c r="D53" s="14"/>
      <c r="E53" s="14"/>
      <c r="F53" s="4" t="s">
        <v>32</v>
      </c>
      <c r="G53" s="4" t="s">
        <v>33</v>
      </c>
      <c r="H53" s="5">
        <v>58</v>
      </c>
      <c r="I53" s="15">
        <v>1979</v>
      </c>
      <c r="J53" s="15"/>
      <c r="K53" s="15"/>
      <c r="L53" s="15">
        <v>104347</v>
      </c>
      <c r="M53" s="15"/>
      <c r="N53" s="15">
        <v>10435</v>
      </c>
      <c r="O53" s="15"/>
      <c r="P53" s="6">
        <v>114782</v>
      </c>
    </row>
    <row r="54" spans="1:16" x14ac:dyDescent="0.3">
      <c r="A54" s="14" t="s">
        <v>47</v>
      </c>
      <c r="B54" s="14"/>
      <c r="C54" s="14" t="s">
        <v>60</v>
      </c>
      <c r="D54" s="14"/>
      <c r="E54" s="14"/>
      <c r="F54" s="4" t="s">
        <v>32</v>
      </c>
      <c r="G54" s="4" t="s">
        <v>33</v>
      </c>
      <c r="H54" s="5">
        <v>97</v>
      </c>
      <c r="I54" s="15">
        <v>1979</v>
      </c>
      <c r="J54" s="15"/>
      <c r="K54" s="15"/>
      <c r="L54" s="15">
        <v>174512</v>
      </c>
      <c r="M54" s="15"/>
      <c r="N54" s="15">
        <v>17451</v>
      </c>
      <c r="O54" s="15"/>
      <c r="P54" s="6">
        <v>191963</v>
      </c>
    </row>
    <row r="55" spans="1:16" x14ac:dyDescent="0.3">
      <c r="A55" s="14" t="s">
        <v>47</v>
      </c>
      <c r="B55" s="14"/>
      <c r="C55" s="14" t="s">
        <v>66</v>
      </c>
      <c r="D55" s="14"/>
      <c r="E55" s="14"/>
      <c r="F55" s="4" t="s">
        <v>32</v>
      </c>
      <c r="G55" s="4" t="s">
        <v>33</v>
      </c>
      <c r="H55" s="5">
        <v>167</v>
      </c>
      <c r="I55" s="15">
        <v>1979</v>
      </c>
      <c r="J55" s="15"/>
      <c r="K55" s="15"/>
      <c r="L55" s="15">
        <v>300448</v>
      </c>
      <c r="M55" s="15"/>
      <c r="N55" s="15">
        <v>30045</v>
      </c>
      <c r="O55" s="15"/>
      <c r="P55" s="6">
        <v>330493</v>
      </c>
    </row>
    <row r="56" spans="1:16" x14ac:dyDescent="0.3">
      <c r="A56" s="14" t="s">
        <v>74</v>
      </c>
      <c r="B56" s="14"/>
      <c r="C56" s="14" t="s">
        <v>57</v>
      </c>
      <c r="D56" s="14"/>
      <c r="E56" s="14"/>
      <c r="F56" s="4" t="s">
        <v>32</v>
      </c>
      <c r="G56" s="4" t="s">
        <v>33</v>
      </c>
      <c r="H56" s="5">
        <v>121</v>
      </c>
      <c r="I56" s="15">
        <v>1979</v>
      </c>
      <c r="J56" s="15"/>
      <c r="K56" s="15"/>
      <c r="L56" s="15">
        <v>217690</v>
      </c>
      <c r="M56" s="15"/>
      <c r="N56" s="15">
        <v>21769</v>
      </c>
      <c r="O56" s="15"/>
      <c r="P56" s="6">
        <v>239459</v>
      </c>
    </row>
    <row r="57" spans="1:16" x14ac:dyDescent="0.3">
      <c r="A57" s="14" t="s">
        <v>74</v>
      </c>
      <c r="B57" s="14"/>
      <c r="C57" s="14" t="s">
        <v>64</v>
      </c>
      <c r="D57" s="14"/>
      <c r="E57" s="14"/>
      <c r="F57" s="4" t="s">
        <v>32</v>
      </c>
      <c r="G57" s="4" t="s">
        <v>33</v>
      </c>
      <c r="H57" s="5">
        <v>79</v>
      </c>
      <c r="I57" s="15">
        <v>1979</v>
      </c>
      <c r="J57" s="15"/>
      <c r="K57" s="15"/>
      <c r="L57" s="15">
        <v>142128</v>
      </c>
      <c r="M57" s="15"/>
      <c r="N57" s="15">
        <v>14213</v>
      </c>
      <c r="O57" s="15"/>
      <c r="P57" s="6">
        <v>156341</v>
      </c>
    </row>
    <row r="58" spans="1:16" x14ac:dyDescent="0.3">
      <c r="A58" s="14" t="s">
        <v>74</v>
      </c>
      <c r="B58" s="14"/>
      <c r="C58" s="14" t="s">
        <v>62</v>
      </c>
      <c r="D58" s="14"/>
      <c r="E58" s="14"/>
      <c r="F58" s="4" t="s">
        <v>32</v>
      </c>
      <c r="G58" s="4" t="s">
        <v>33</v>
      </c>
      <c r="H58" s="5">
        <v>105</v>
      </c>
      <c r="I58" s="15">
        <v>1979</v>
      </c>
      <c r="J58" s="15"/>
      <c r="K58" s="15"/>
      <c r="L58" s="15">
        <v>188905</v>
      </c>
      <c r="M58" s="15"/>
      <c r="N58" s="15">
        <v>18890</v>
      </c>
      <c r="O58" s="15"/>
      <c r="P58" s="6">
        <v>207795</v>
      </c>
    </row>
    <row r="59" spans="1:16" x14ac:dyDescent="0.3">
      <c r="A59" s="14" t="s">
        <v>74</v>
      </c>
      <c r="B59" s="14"/>
      <c r="C59" s="14" t="s">
        <v>55</v>
      </c>
      <c r="D59" s="14"/>
      <c r="E59" s="14"/>
      <c r="F59" s="4" t="s">
        <v>32</v>
      </c>
      <c r="G59" s="4" t="s">
        <v>33</v>
      </c>
      <c r="H59" s="5">
        <v>59</v>
      </c>
      <c r="I59" s="15">
        <v>1979</v>
      </c>
      <c r="J59" s="15"/>
      <c r="K59" s="15"/>
      <c r="L59" s="15">
        <v>106146</v>
      </c>
      <c r="M59" s="15"/>
      <c r="N59" s="15">
        <v>10615</v>
      </c>
      <c r="O59" s="15"/>
      <c r="P59" s="6">
        <v>116761</v>
      </c>
    </row>
    <row r="60" spans="1:16" x14ac:dyDescent="0.3">
      <c r="A60" s="14" t="s">
        <v>74</v>
      </c>
      <c r="B60" s="14"/>
      <c r="C60" s="14" t="s">
        <v>75</v>
      </c>
      <c r="D60" s="14"/>
      <c r="E60" s="14"/>
      <c r="F60" s="4" t="s">
        <v>54</v>
      </c>
      <c r="G60" s="4" t="s">
        <v>33</v>
      </c>
      <c r="H60" s="5">
        <v>35</v>
      </c>
      <c r="I60" s="15">
        <v>1964</v>
      </c>
      <c r="J60" s="15"/>
      <c r="K60" s="15"/>
      <c r="L60" s="15">
        <v>62491</v>
      </c>
      <c r="M60" s="15"/>
      <c r="N60" s="15">
        <v>6249</v>
      </c>
      <c r="O60" s="15"/>
      <c r="P60" s="6">
        <v>68740</v>
      </c>
    </row>
    <row r="61" spans="1:16" x14ac:dyDescent="0.3">
      <c r="A61" s="14" t="s">
        <v>74</v>
      </c>
      <c r="B61" s="14"/>
      <c r="C61" s="14" t="s">
        <v>76</v>
      </c>
      <c r="D61" s="14"/>
      <c r="E61" s="14"/>
      <c r="F61" s="4" t="s">
        <v>54</v>
      </c>
      <c r="G61" s="4" t="s">
        <v>33</v>
      </c>
      <c r="H61" s="5">
        <v>45</v>
      </c>
      <c r="I61" s="15">
        <v>1964</v>
      </c>
      <c r="J61" s="15"/>
      <c r="K61" s="15"/>
      <c r="L61" s="15">
        <v>80345</v>
      </c>
      <c r="M61" s="15"/>
      <c r="N61" s="15">
        <v>8035</v>
      </c>
      <c r="O61" s="15"/>
      <c r="P61" s="6">
        <v>88380</v>
      </c>
    </row>
    <row r="62" spans="1:16" x14ac:dyDescent="0.3">
      <c r="A62" s="14" t="s">
        <v>74</v>
      </c>
      <c r="B62" s="14"/>
      <c r="C62" s="14" t="s">
        <v>61</v>
      </c>
      <c r="D62" s="14"/>
      <c r="E62" s="14"/>
      <c r="F62" s="4" t="s">
        <v>32</v>
      </c>
      <c r="G62" s="4" t="s">
        <v>33</v>
      </c>
      <c r="H62" s="5">
        <v>78</v>
      </c>
      <c r="I62" s="15">
        <v>1979</v>
      </c>
      <c r="J62" s="15"/>
      <c r="K62" s="15"/>
      <c r="L62" s="15">
        <v>140329</v>
      </c>
      <c r="M62" s="15"/>
      <c r="N62" s="15">
        <v>14033</v>
      </c>
      <c r="O62" s="15"/>
      <c r="P62" s="6">
        <v>154362</v>
      </c>
    </row>
    <row r="63" spans="1:16" x14ac:dyDescent="0.3">
      <c r="A63" s="14" t="s">
        <v>74</v>
      </c>
      <c r="B63" s="14"/>
      <c r="C63" s="14" t="s">
        <v>59</v>
      </c>
      <c r="D63" s="14"/>
      <c r="E63" s="14"/>
      <c r="F63" s="4" t="s">
        <v>32</v>
      </c>
      <c r="G63" s="4" t="s">
        <v>33</v>
      </c>
      <c r="H63" s="5">
        <v>97</v>
      </c>
      <c r="I63" s="15">
        <v>1979</v>
      </c>
      <c r="J63" s="15"/>
      <c r="K63" s="15"/>
      <c r="L63" s="15">
        <v>174512</v>
      </c>
      <c r="M63" s="15"/>
      <c r="N63" s="15">
        <v>17451</v>
      </c>
      <c r="O63" s="15"/>
      <c r="P63" s="6">
        <v>191963</v>
      </c>
    </row>
    <row r="64" spans="1:16" x14ac:dyDescent="0.3">
      <c r="A64" s="14" t="s">
        <v>48</v>
      </c>
      <c r="B64" s="14"/>
      <c r="C64" s="14" t="s">
        <v>52</v>
      </c>
      <c r="D64" s="14"/>
      <c r="E64" s="14"/>
      <c r="F64" s="4" t="s">
        <v>32</v>
      </c>
      <c r="G64" s="4" t="s">
        <v>33</v>
      </c>
      <c r="H64" s="5">
        <v>50</v>
      </c>
      <c r="I64" s="15">
        <v>1979</v>
      </c>
      <c r="J64" s="15"/>
      <c r="K64" s="15"/>
      <c r="L64" s="15">
        <v>89955</v>
      </c>
      <c r="M64" s="15"/>
      <c r="N64" s="15">
        <v>8995</v>
      </c>
      <c r="O64" s="15"/>
      <c r="P64" s="6">
        <v>98950</v>
      </c>
    </row>
    <row r="65" spans="1:16" x14ac:dyDescent="0.3">
      <c r="A65" s="14" t="s">
        <v>48</v>
      </c>
      <c r="B65" s="14"/>
      <c r="C65" s="14" t="s">
        <v>72</v>
      </c>
      <c r="D65" s="14"/>
      <c r="E65" s="14"/>
      <c r="F65" s="4" t="s">
        <v>32</v>
      </c>
      <c r="G65" s="4" t="s">
        <v>33</v>
      </c>
      <c r="H65" s="5">
        <v>50</v>
      </c>
      <c r="I65" s="15">
        <v>1979</v>
      </c>
      <c r="J65" s="15"/>
      <c r="K65" s="15"/>
      <c r="L65" s="15">
        <v>89955</v>
      </c>
      <c r="M65" s="15"/>
      <c r="N65" s="15">
        <v>8995</v>
      </c>
      <c r="O65" s="15"/>
      <c r="P65" s="6">
        <v>98950</v>
      </c>
    </row>
    <row r="66" spans="1:16" x14ac:dyDescent="0.3">
      <c r="A66" s="14" t="s">
        <v>48</v>
      </c>
      <c r="B66" s="14"/>
      <c r="C66" s="14" t="s">
        <v>64</v>
      </c>
      <c r="D66" s="14"/>
      <c r="E66" s="14"/>
      <c r="F66" s="4" t="s">
        <v>32</v>
      </c>
      <c r="G66" s="4" t="s">
        <v>33</v>
      </c>
      <c r="H66" s="5">
        <v>86</v>
      </c>
      <c r="I66" s="15">
        <v>1979</v>
      </c>
      <c r="J66" s="15"/>
      <c r="K66" s="15"/>
      <c r="L66" s="15">
        <v>154722</v>
      </c>
      <c r="M66" s="15"/>
      <c r="N66" s="15">
        <v>15472</v>
      </c>
      <c r="O66" s="15"/>
      <c r="P66" s="6">
        <v>170194</v>
      </c>
    </row>
    <row r="67" spans="1:16" x14ac:dyDescent="0.3">
      <c r="A67" s="14" t="s">
        <v>48</v>
      </c>
      <c r="B67" s="14"/>
      <c r="C67" s="14" t="s">
        <v>59</v>
      </c>
      <c r="D67" s="14"/>
      <c r="E67" s="14"/>
      <c r="F67" s="4" t="s">
        <v>32</v>
      </c>
      <c r="G67" s="4" t="s">
        <v>33</v>
      </c>
      <c r="H67" s="5">
        <v>59</v>
      </c>
      <c r="I67" s="15">
        <v>1979</v>
      </c>
      <c r="J67" s="15"/>
      <c r="K67" s="15"/>
      <c r="L67" s="15">
        <v>106146</v>
      </c>
      <c r="M67" s="15"/>
      <c r="N67" s="15">
        <v>10615</v>
      </c>
      <c r="O67" s="15"/>
      <c r="P67" s="6">
        <v>116761</v>
      </c>
    </row>
    <row r="68" spans="1:16" x14ac:dyDescent="0.3">
      <c r="A68" s="14" t="s">
        <v>77</v>
      </c>
      <c r="B68" s="14"/>
      <c r="C68" s="14" t="s">
        <v>43</v>
      </c>
      <c r="D68" s="14"/>
      <c r="E68" s="14"/>
      <c r="F68" s="4" t="s">
        <v>32</v>
      </c>
      <c r="G68" s="4" t="s">
        <v>33</v>
      </c>
      <c r="H68" s="5">
        <v>46</v>
      </c>
      <c r="I68" s="15">
        <v>1979</v>
      </c>
      <c r="J68" s="15"/>
      <c r="K68" s="15"/>
      <c r="L68" s="15">
        <v>82758</v>
      </c>
      <c r="M68" s="15"/>
      <c r="N68" s="15">
        <v>8276</v>
      </c>
      <c r="O68" s="15"/>
      <c r="P68" s="6">
        <v>91034</v>
      </c>
    </row>
    <row r="69" spans="1:16" x14ac:dyDescent="0.3">
      <c r="A69" s="14" t="s">
        <v>78</v>
      </c>
      <c r="B69" s="14"/>
      <c r="C69" s="14" t="s">
        <v>66</v>
      </c>
      <c r="D69" s="14"/>
      <c r="E69" s="14"/>
      <c r="F69" s="4" t="s">
        <v>32</v>
      </c>
      <c r="G69" s="4" t="s">
        <v>33</v>
      </c>
      <c r="H69" s="5">
        <v>160</v>
      </c>
      <c r="I69" s="15">
        <v>1979</v>
      </c>
      <c r="J69" s="15"/>
      <c r="K69" s="15"/>
      <c r="L69" s="15">
        <v>287855</v>
      </c>
      <c r="M69" s="15"/>
      <c r="N69" s="15">
        <v>28785</v>
      </c>
      <c r="O69" s="15"/>
      <c r="P69" s="6">
        <v>316640</v>
      </c>
    </row>
    <row r="70" spans="1:16" x14ac:dyDescent="0.3">
      <c r="A70" s="14" t="s">
        <v>78</v>
      </c>
      <c r="B70" s="14"/>
      <c r="C70" s="14" t="s">
        <v>63</v>
      </c>
      <c r="D70" s="14"/>
      <c r="E70" s="14"/>
      <c r="F70" s="4" t="s">
        <v>32</v>
      </c>
      <c r="G70" s="4" t="s">
        <v>33</v>
      </c>
      <c r="H70" s="5">
        <v>96</v>
      </c>
      <c r="I70" s="15">
        <v>1979</v>
      </c>
      <c r="J70" s="15"/>
      <c r="K70" s="15"/>
      <c r="L70" s="15">
        <v>172713</v>
      </c>
      <c r="M70" s="15"/>
      <c r="N70" s="15">
        <v>17271</v>
      </c>
      <c r="O70" s="15"/>
      <c r="P70" s="6">
        <v>189984</v>
      </c>
    </row>
    <row r="71" spans="1:16" x14ac:dyDescent="0.3">
      <c r="A71" s="14" t="s">
        <v>49</v>
      </c>
      <c r="B71" s="14"/>
      <c r="C71" s="14" t="s">
        <v>59</v>
      </c>
      <c r="D71" s="14"/>
      <c r="E71" s="14"/>
      <c r="F71" s="4" t="s">
        <v>32</v>
      </c>
      <c r="G71" s="4" t="s">
        <v>33</v>
      </c>
      <c r="H71" s="5">
        <v>60</v>
      </c>
      <c r="I71" s="15">
        <v>1979</v>
      </c>
      <c r="J71" s="15"/>
      <c r="K71" s="15"/>
      <c r="L71" s="15">
        <v>107945</v>
      </c>
      <c r="M71" s="15"/>
      <c r="N71" s="15">
        <v>10795</v>
      </c>
      <c r="O71" s="15"/>
      <c r="P71" s="6">
        <v>118740</v>
      </c>
    </row>
    <row r="72" spans="1:16" x14ac:dyDescent="0.3">
      <c r="A72" s="14" t="s">
        <v>49</v>
      </c>
      <c r="B72" s="14"/>
      <c r="C72" s="14" t="s">
        <v>57</v>
      </c>
      <c r="D72" s="14"/>
      <c r="E72" s="14"/>
      <c r="F72" s="4" t="s">
        <v>32</v>
      </c>
      <c r="G72" s="4" t="s">
        <v>33</v>
      </c>
      <c r="H72" s="5">
        <v>110</v>
      </c>
      <c r="I72" s="15">
        <v>1979</v>
      </c>
      <c r="J72" s="15"/>
      <c r="K72" s="15"/>
      <c r="L72" s="15">
        <v>197900</v>
      </c>
      <c r="M72" s="15"/>
      <c r="N72" s="15">
        <v>19790</v>
      </c>
      <c r="O72" s="15"/>
      <c r="P72" s="6">
        <v>217690</v>
      </c>
    </row>
    <row r="73" spans="1:16" x14ac:dyDescent="0.3">
      <c r="A73" s="14" t="s">
        <v>49</v>
      </c>
      <c r="B73" s="14"/>
      <c r="C73" s="14" t="s">
        <v>62</v>
      </c>
      <c r="D73" s="14"/>
      <c r="E73" s="14"/>
      <c r="F73" s="4" t="s">
        <v>32</v>
      </c>
      <c r="G73" s="4" t="s">
        <v>33</v>
      </c>
      <c r="H73" s="5">
        <v>124</v>
      </c>
      <c r="I73" s="15">
        <v>1979</v>
      </c>
      <c r="J73" s="15"/>
      <c r="K73" s="15"/>
      <c r="L73" s="15">
        <v>223087</v>
      </c>
      <c r="M73" s="15"/>
      <c r="N73" s="15">
        <v>22309</v>
      </c>
      <c r="O73" s="15"/>
      <c r="P73" s="6">
        <v>245396</v>
      </c>
    </row>
    <row r="74" spans="1:16" x14ac:dyDescent="0.3">
      <c r="A74" s="14" t="s">
        <v>2</v>
      </c>
      <c r="B74" s="14"/>
      <c r="C74" s="14" t="s">
        <v>64</v>
      </c>
      <c r="D74" s="14"/>
      <c r="E74" s="14"/>
      <c r="F74" s="4" t="s">
        <v>32</v>
      </c>
      <c r="G74" s="4" t="s">
        <v>33</v>
      </c>
      <c r="H74" s="5">
        <v>79</v>
      </c>
      <c r="I74" s="15">
        <v>1979</v>
      </c>
      <c r="J74" s="15"/>
      <c r="K74" s="15"/>
      <c r="L74" s="15">
        <v>142128</v>
      </c>
      <c r="M74" s="15"/>
      <c r="N74" s="15">
        <v>14213</v>
      </c>
      <c r="O74" s="15"/>
      <c r="P74" s="6">
        <v>156341</v>
      </c>
    </row>
    <row r="75" spans="1:16" x14ac:dyDescent="0.3">
      <c r="A75" s="14" t="s">
        <v>2</v>
      </c>
      <c r="B75" s="14"/>
      <c r="C75" s="14" t="s">
        <v>60</v>
      </c>
      <c r="D75" s="14"/>
      <c r="E75" s="14"/>
      <c r="F75" s="4" t="s">
        <v>32</v>
      </c>
      <c r="G75" s="4" t="s">
        <v>33</v>
      </c>
      <c r="H75" s="5">
        <v>109</v>
      </c>
      <c r="I75" s="15">
        <v>1979</v>
      </c>
      <c r="J75" s="15"/>
      <c r="K75" s="15"/>
      <c r="L75" s="15">
        <v>196101</v>
      </c>
      <c r="M75" s="15"/>
      <c r="N75" s="15">
        <v>19610</v>
      </c>
      <c r="O75" s="15"/>
      <c r="P75" s="6">
        <v>215711</v>
      </c>
    </row>
    <row r="76" spans="1:16" x14ac:dyDescent="0.3">
      <c r="A76" s="14" t="s">
        <v>2</v>
      </c>
      <c r="B76" s="14"/>
      <c r="C76" s="14" t="s">
        <v>66</v>
      </c>
      <c r="D76" s="14"/>
      <c r="E76" s="14"/>
      <c r="F76" s="4" t="s">
        <v>32</v>
      </c>
      <c r="G76" s="4" t="s">
        <v>33</v>
      </c>
      <c r="H76" s="5">
        <v>89</v>
      </c>
      <c r="I76" s="15">
        <v>1979</v>
      </c>
      <c r="J76" s="15"/>
      <c r="K76" s="15"/>
      <c r="L76" s="15">
        <v>160119</v>
      </c>
      <c r="M76" s="15"/>
      <c r="N76" s="15">
        <v>16012</v>
      </c>
      <c r="O76" s="15"/>
      <c r="P76" s="6">
        <v>176131</v>
      </c>
    </row>
    <row r="77" spans="1:16" x14ac:dyDescent="0.3">
      <c r="A77" s="14" t="s">
        <v>50</v>
      </c>
      <c r="B77" s="14"/>
      <c r="C77" s="14" t="s">
        <v>59</v>
      </c>
      <c r="D77" s="14"/>
      <c r="E77" s="14"/>
      <c r="F77" s="4" t="s">
        <v>32</v>
      </c>
      <c r="G77" s="4" t="s">
        <v>33</v>
      </c>
      <c r="H77" s="5">
        <v>101</v>
      </c>
      <c r="I77" s="15">
        <v>1979</v>
      </c>
      <c r="J77" s="15"/>
      <c r="K77" s="15"/>
      <c r="L77" s="15">
        <v>181708</v>
      </c>
      <c r="M77" s="15"/>
      <c r="N77" s="15">
        <v>18171</v>
      </c>
      <c r="O77" s="15"/>
      <c r="P77" s="6">
        <v>199879</v>
      </c>
    </row>
    <row r="78" spans="1:16" x14ac:dyDescent="0.3">
      <c r="A78" s="14" t="s">
        <v>50</v>
      </c>
      <c r="B78" s="14"/>
      <c r="C78" s="14" t="s">
        <v>64</v>
      </c>
      <c r="D78" s="14"/>
      <c r="E78" s="14"/>
      <c r="F78" s="4" t="s">
        <v>32</v>
      </c>
      <c r="G78" s="4" t="s">
        <v>33</v>
      </c>
      <c r="H78" s="5">
        <v>77</v>
      </c>
      <c r="I78" s="15">
        <v>1979</v>
      </c>
      <c r="J78" s="15"/>
      <c r="K78" s="15"/>
      <c r="L78" s="15">
        <v>138530</v>
      </c>
      <c r="M78" s="15"/>
      <c r="N78" s="15">
        <v>13853</v>
      </c>
      <c r="O78" s="15"/>
      <c r="P78" s="6">
        <v>152383</v>
      </c>
    </row>
    <row r="79" spans="1:16" x14ac:dyDescent="0.3">
      <c r="A79" s="14" t="s">
        <v>50</v>
      </c>
      <c r="B79" s="14"/>
      <c r="C79" s="14" t="s">
        <v>59</v>
      </c>
      <c r="D79" s="14"/>
      <c r="E79" s="14"/>
      <c r="F79" s="4" t="s">
        <v>32</v>
      </c>
      <c r="G79" s="4" t="s">
        <v>33</v>
      </c>
      <c r="H79" s="5">
        <v>62</v>
      </c>
      <c r="I79" s="15">
        <v>1979</v>
      </c>
      <c r="J79" s="15"/>
      <c r="K79" s="15"/>
      <c r="L79" s="15">
        <v>111544</v>
      </c>
      <c r="M79" s="15"/>
      <c r="N79" s="15">
        <v>11154</v>
      </c>
      <c r="O79" s="15"/>
      <c r="P79" s="6">
        <v>122698</v>
      </c>
    </row>
    <row r="80" spans="1:16" x14ac:dyDescent="0.3">
      <c r="A80" s="14" t="s">
        <v>79</v>
      </c>
      <c r="B80" s="14"/>
      <c r="C80" s="14" t="s">
        <v>57</v>
      </c>
      <c r="D80" s="14"/>
      <c r="E80" s="14"/>
      <c r="F80" s="4" t="s">
        <v>32</v>
      </c>
      <c r="G80" s="4" t="s">
        <v>33</v>
      </c>
      <c r="H80" s="5">
        <v>113</v>
      </c>
      <c r="I80" s="15">
        <v>1979</v>
      </c>
      <c r="J80" s="15"/>
      <c r="K80" s="15"/>
      <c r="L80" s="15">
        <v>203297</v>
      </c>
      <c r="M80" s="15"/>
      <c r="N80" s="15">
        <v>20330</v>
      </c>
      <c r="O80" s="15"/>
      <c r="P80" s="6">
        <v>223627</v>
      </c>
    </row>
    <row r="81" spans="1:16" ht="17.25" customHeight="1" x14ac:dyDescent="0.3">
      <c r="A81" s="16" t="s">
        <v>51</v>
      </c>
      <c r="B81" s="16"/>
      <c r="C81" s="16"/>
      <c r="D81" s="16"/>
      <c r="E81" s="16"/>
      <c r="F81" s="16"/>
      <c r="G81" s="16"/>
      <c r="H81" s="7">
        <v>6117</v>
      </c>
      <c r="I81" s="16" t="s">
        <v>4</v>
      </c>
      <c r="J81" s="16"/>
      <c r="K81" s="16"/>
      <c r="L81" s="17">
        <v>10999639</v>
      </c>
      <c r="M81" s="17"/>
      <c r="N81" s="17">
        <v>1099965</v>
      </c>
      <c r="O81" s="17"/>
      <c r="P81" s="8">
        <v>12099604</v>
      </c>
    </row>
    <row r="83" spans="1:16" x14ac:dyDescent="0.3">
      <c r="P83" s="26">
        <f>P81+거래명세서!P79</f>
        <v>18347305</v>
      </c>
    </row>
  </sheetData>
  <mergeCells count="386">
    <mergeCell ref="A80:B80"/>
    <mergeCell ref="C80:E80"/>
    <mergeCell ref="I80:K80"/>
    <mergeCell ref="L80:M80"/>
    <mergeCell ref="N80:O80"/>
    <mergeCell ref="A81:G81"/>
    <mergeCell ref="I81:K81"/>
    <mergeCell ref="L81:M81"/>
    <mergeCell ref="N81:O81"/>
    <mergeCell ref="A78:B78"/>
    <mergeCell ref="C78:E78"/>
    <mergeCell ref="I78:K78"/>
    <mergeCell ref="L78:M78"/>
    <mergeCell ref="N78:O78"/>
    <mergeCell ref="A79:B79"/>
    <mergeCell ref="C79:E79"/>
    <mergeCell ref="I79:K79"/>
    <mergeCell ref="L79:M79"/>
    <mergeCell ref="N79:O79"/>
    <mergeCell ref="A76:B76"/>
    <mergeCell ref="C76:E76"/>
    <mergeCell ref="I76:K76"/>
    <mergeCell ref="L76:M76"/>
    <mergeCell ref="N76:O76"/>
    <mergeCell ref="A77:B77"/>
    <mergeCell ref="C77:E77"/>
    <mergeCell ref="I77:K77"/>
    <mergeCell ref="L77:M77"/>
    <mergeCell ref="N77:O77"/>
    <mergeCell ref="A74:B74"/>
    <mergeCell ref="C74:E74"/>
    <mergeCell ref="I74:K74"/>
    <mergeCell ref="L74:M74"/>
    <mergeCell ref="N74:O74"/>
    <mergeCell ref="A75:B75"/>
    <mergeCell ref="C75:E75"/>
    <mergeCell ref="I75:K75"/>
    <mergeCell ref="L75:M75"/>
    <mergeCell ref="N75:O75"/>
    <mergeCell ref="A72:B72"/>
    <mergeCell ref="C72:E72"/>
    <mergeCell ref="I72:K72"/>
    <mergeCell ref="L72:M72"/>
    <mergeCell ref="N72:O72"/>
    <mergeCell ref="A73:B73"/>
    <mergeCell ref="C73:E73"/>
    <mergeCell ref="I73:K73"/>
    <mergeCell ref="L73:M73"/>
    <mergeCell ref="N73:O73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68:B68"/>
    <mergeCell ref="C68:E68"/>
    <mergeCell ref="I68:K68"/>
    <mergeCell ref="L68:M68"/>
    <mergeCell ref="N68:O68"/>
    <mergeCell ref="A69:B69"/>
    <mergeCell ref="C69:E69"/>
    <mergeCell ref="I69:K69"/>
    <mergeCell ref="L69:M69"/>
    <mergeCell ref="N69:O69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64:B64"/>
    <mergeCell ref="C64:E64"/>
    <mergeCell ref="I64:K64"/>
    <mergeCell ref="L64:M64"/>
    <mergeCell ref="N64:O64"/>
    <mergeCell ref="A65:B65"/>
    <mergeCell ref="C65:E65"/>
    <mergeCell ref="I65:K65"/>
    <mergeCell ref="L65:M65"/>
    <mergeCell ref="N65:O65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O1:P1"/>
    <mergeCell ref="M2:N2"/>
    <mergeCell ref="O2:P2"/>
    <mergeCell ref="A3:A6"/>
    <mergeCell ref="C3:H3"/>
    <mergeCell ref="I3:I6"/>
    <mergeCell ref="K3:P3"/>
    <mergeCell ref="C4:F4"/>
  </mergeCells>
  <phoneticPr fontId="6" type="noConversion"/>
  <pageMargins left="0.7" right="0.7" top="0.75" bottom="0.75" header="0.3" footer="0.3"/>
  <pageSetup paperSize="9" scale="89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9"/>
  <sheetViews>
    <sheetView tabSelected="1" topLeftCell="A49" workbookViewId="0">
      <selection activeCell="S9" sqref="S9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 t="s">
        <v>1</v>
      </c>
      <c r="N1" s="10"/>
      <c r="O1" s="10" t="s">
        <v>2</v>
      </c>
      <c r="P1" s="10"/>
    </row>
    <row r="2" spans="1:16" ht="1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3</v>
      </c>
      <c r="N2" s="10"/>
      <c r="O2" s="10" t="s">
        <v>4</v>
      </c>
      <c r="P2" s="10"/>
    </row>
    <row r="3" spans="1:16" ht="27" customHeight="1" x14ac:dyDescent="0.3">
      <c r="A3" s="12" t="s">
        <v>5</v>
      </c>
      <c r="B3" s="2" t="s">
        <v>6</v>
      </c>
      <c r="C3" s="11" t="s">
        <v>7</v>
      </c>
      <c r="D3" s="11"/>
      <c r="E3" s="11"/>
      <c r="F3" s="11"/>
      <c r="G3" s="11"/>
      <c r="H3" s="11"/>
      <c r="I3" s="12" t="s">
        <v>8</v>
      </c>
      <c r="J3" s="2" t="s">
        <v>6</v>
      </c>
      <c r="K3" s="11" t="s">
        <v>9</v>
      </c>
      <c r="L3" s="11"/>
      <c r="M3" s="11"/>
      <c r="N3" s="11"/>
      <c r="O3" s="11"/>
      <c r="P3" s="11"/>
    </row>
    <row r="4" spans="1:16" ht="27" customHeight="1" x14ac:dyDescent="0.3">
      <c r="A4" s="12"/>
      <c r="B4" s="2" t="s">
        <v>10</v>
      </c>
      <c r="C4" s="13" t="s">
        <v>11</v>
      </c>
      <c r="D4" s="13"/>
      <c r="E4" s="13"/>
      <c r="F4" s="13"/>
      <c r="G4" s="1" t="s">
        <v>12</v>
      </c>
      <c r="H4" s="3" t="s">
        <v>13</v>
      </c>
      <c r="I4" s="12"/>
      <c r="J4" s="2" t="s">
        <v>10</v>
      </c>
      <c r="K4" s="13" t="s">
        <v>14</v>
      </c>
      <c r="L4" s="13"/>
      <c r="M4" s="13"/>
      <c r="N4" s="13"/>
      <c r="O4" s="1" t="s">
        <v>12</v>
      </c>
      <c r="P4" s="2" t="s">
        <v>4</v>
      </c>
    </row>
    <row r="5" spans="1:16" ht="27" customHeight="1" x14ac:dyDescent="0.3">
      <c r="A5" s="12"/>
      <c r="B5" s="2" t="s">
        <v>15</v>
      </c>
      <c r="C5" s="13" t="s">
        <v>16</v>
      </c>
      <c r="D5" s="13"/>
      <c r="E5" s="13"/>
      <c r="F5" s="13"/>
      <c r="G5" s="13"/>
      <c r="H5" s="13"/>
      <c r="I5" s="12"/>
      <c r="J5" s="2" t="s">
        <v>15</v>
      </c>
      <c r="K5" s="13" t="s">
        <v>4</v>
      </c>
      <c r="L5" s="13"/>
      <c r="M5" s="13"/>
      <c r="N5" s="13"/>
      <c r="O5" s="13"/>
      <c r="P5" s="13"/>
    </row>
    <row r="6" spans="1:16" ht="27" customHeight="1" x14ac:dyDescent="0.3">
      <c r="A6" s="12"/>
      <c r="B6" s="1" t="s">
        <v>17</v>
      </c>
      <c r="C6" s="13" t="s">
        <v>18</v>
      </c>
      <c r="D6" s="13"/>
      <c r="E6" s="13"/>
      <c r="F6" s="1" t="s">
        <v>19</v>
      </c>
      <c r="G6" s="13" t="s">
        <v>20</v>
      </c>
      <c r="H6" s="13"/>
      <c r="I6" s="12"/>
      <c r="J6" s="1" t="s">
        <v>17</v>
      </c>
      <c r="K6" s="10" t="s">
        <v>4</v>
      </c>
      <c r="L6" s="10"/>
      <c r="M6" s="10"/>
      <c r="N6" s="1" t="s">
        <v>19</v>
      </c>
      <c r="O6" s="10" t="s">
        <v>4</v>
      </c>
      <c r="P6" s="10"/>
    </row>
    <row r="7" spans="1:16" ht="6.95" customHeight="1" x14ac:dyDescent="0.3"/>
    <row r="8" spans="1:16" x14ac:dyDescent="0.3">
      <c r="A8" s="14" t="s">
        <v>21</v>
      </c>
      <c r="B8" s="14"/>
      <c r="C8" s="14" t="s">
        <v>22</v>
      </c>
      <c r="D8" s="14"/>
      <c r="E8" s="14"/>
      <c r="F8" s="4" t="s">
        <v>23</v>
      </c>
      <c r="G8" s="4" t="s">
        <v>24</v>
      </c>
      <c r="H8" s="4" t="s">
        <v>25</v>
      </c>
      <c r="I8" s="14" t="s">
        <v>26</v>
      </c>
      <c r="J8" s="14"/>
      <c r="K8" s="14"/>
      <c r="L8" s="14" t="s">
        <v>27</v>
      </c>
      <c r="M8" s="14"/>
      <c r="N8" s="14" t="s">
        <v>28</v>
      </c>
      <c r="O8" s="14"/>
      <c r="P8" s="4" t="s">
        <v>29</v>
      </c>
    </row>
    <row r="9" spans="1:16" x14ac:dyDescent="0.3">
      <c r="A9" s="14" t="s">
        <v>30</v>
      </c>
      <c r="B9" s="14"/>
      <c r="C9" s="14" t="s">
        <v>34</v>
      </c>
      <c r="D9" s="14"/>
      <c r="E9" s="14"/>
      <c r="F9" s="4" t="s">
        <v>32</v>
      </c>
      <c r="G9" s="4" t="s">
        <v>33</v>
      </c>
      <c r="H9" s="5">
        <v>56</v>
      </c>
      <c r="I9" s="15">
        <v>1974</v>
      </c>
      <c r="J9" s="15"/>
      <c r="K9" s="15"/>
      <c r="L9" s="15">
        <v>100495</v>
      </c>
      <c r="M9" s="15"/>
      <c r="N9" s="15">
        <v>10049</v>
      </c>
      <c r="O9" s="15"/>
      <c r="P9" s="6">
        <v>110544</v>
      </c>
    </row>
    <row r="10" spans="1:16" x14ac:dyDescent="0.3">
      <c r="A10" s="21" t="s">
        <v>30</v>
      </c>
      <c r="B10" s="23"/>
      <c r="C10" s="21" t="s">
        <v>31</v>
      </c>
      <c r="D10" s="22"/>
      <c r="E10" s="23"/>
      <c r="F10" s="4" t="s">
        <v>32</v>
      </c>
      <c r="G10" s="4" t="s">
        <v>33</v>
      </c>
      <c r="H10" s="5">
        <v>71</v>
      </c>
      <c r="I10" s="18">
        <v>1974</v>
      </c>
      <c r="J10" s="20"/>
      <c r="K10" s="19"/>
      <c r="L10" s="18">
        <v>127413</v>
      </c>
      <c r="M10" s="19"/>
      <c r="N10" s="18">
        <v>12741</v>
      </c>
      <c r="O10" s="19"/>
      <c r="P10" s="6">
        <v>140154</v>
      </c>
    </row>
    <row r="11" spans="1:16" x14ac:dyDescent="0.3">
      <c r="A11" s="14" t="s">
        <v>30</v>
      </c>
      <c r="B11" s="14"/>
      <c r="C11" s="14" t="s">
        <v>35</v>
      </c>
      <c r="D11" s="14"/>
      <c r="E11" s="14"/>
      <c r="F11" s="4" t="s">
        <v>32</v>
      </c>
      <c r="G11" s="4" t="s">
        <v>33</v>
      </c>
      <c r="H11" s="5">
        <v>79</v>
      </c>
      <c r="I11" s="15">
        <v>1974</v>
      </c>
      <c r="J11" s="15"/>
      <c r="K11" s="15"/>
      <c r="L11" s="15">
        <v>141769</v>
      </c>
      <c r="M11" s="15"/>
      <c r="N11" s="15">
        <v>14177</v>
      </c>
      <c r="O11" s="15"/>
      <c r="P11" s="6">
        <v>155946</v>
      </c>
    </row>
    <row r="12" spans="1:16" x14ac:dyDescent="0.3">
      <c r="A12" s="14" t="s">
        <v>30</v>
      </c>
      <c r="B12" s="14"/>
      <c r="C12" s="14" t="s">
        <v>36</v>
      </c>
      <c r="D12" s="14"/>
      <c r="E12" s="14"/>
      <c r="F12" s="4" t="s">
        <v>32</v>
      </c>
      <c r="G12" s="4" t="s">
        <v>33</v>
      </c>
      <c r="H12" s="5">
        <v>9</v>
      </c>
      <c r="I12" s="15">
        <v>1974</v>
      </c>
      <c r="J12" s="15"/>
      <c r="K12" s="15"/>
      <c r="L12" s="15">
        <v>16151</v>
      </c>
      <c r="M12" s="15"/>
      <c r="N12" s="15">
        <v>1615</v>
      </c>
      <c r="O12" s="15"/>
      <c r="P12" s="6">
        <v>17766</v>
      </c>
    </row>
    <row r="13" spans="1:16" x14ac:dyDescent="0.3">
      <c r="A13" s="14" t="s">
        <v>30</v>
      </c>
      <c r="B13" s="14"/>
      <c r="C13" s="14" t="s">
        <v>37</v>
      </c>
      <c r="D13" s="14"/>
      <c r="E13" s="14"/>
      <c r="F13" s="4" t="s">
        <v>32</v>
      </c>
      <c r="G13" s="4" t="s">
        <v>33</v>
      </c>
      <c r="H13" s="5">
        <v>33</v>
      </c>
      <c r="I13" s="15">
        <v>1974</v>
      </c>
      <c r="J13" s="15"/>
      <c r="K13" s="15"/>
      <c r="L13" s="15">
        <v>59220</v>
      </c>
      <c r="M13" s="15"/>
      <c r="N13" s="15">
        <v>5922</v>
      </c>
      <c r="O13" s="15"/>
      <c r="P13" s="6">
        <v>65142</v>
      </c>
    </row>
    <row r="14" spans="1:16" x14ac:dyDescent="0.3">
      <c r="A14" s="14" t="s">
        <v>30</v>
      </c>
      <c r="B14" s="14"/>
      <c r="C14" s="14" t="s">
        <v>38</v>
      </c>
      <c r="D14" s="14"/>
      <c r="E14" s="14"/>
      <c r="F14" s="4" t="s">
        <v>32</v>
      </c>
      <c r="G14" s="4" t="s">
        <v>33</v>
      </c>
      <c r="H14" s="5">
        <v>53</v>
      </c>
      <c r="I14" s="15">
        <v>1974</v>
      </c>
      <c r="J14" s="15"/>
      <c r="K14" s="15"/>
      <c r="L14" s="15">
        <v>95111</v>
      </c>
      <c r="M14" s="15"/>
      <c r="N14" s="15">
        <v>9511</v>
      </c>
      <c r="O14" s="15"/>
      <c r="P14" s="6">
        <v>104622</v>
      </c>
    </row>
    <row r="15" spans="1:16" x14ac:dyDescent="0.3">
      <c r="A15" s="14" t="s">
        <v>39</v>
      </c>
      <c r="B15" s="14"/>
      <c r="C15" s="14" t="s">
        <v>37</v>
      </c>
      <c r="D15" s="14"/>
      <c r="E15" s="14"/>
      <c r="F15" s="4" t="s">
        <v>32</v>
      </c>
      <c r="G15" s="4" t="s">
        <v>33</v>
      </c>
      <c r="H15" s="5">
        <v>18</v>
      </c>
      <c r="I15" s="15">
        <v>1974</v>
      </c>
      <c r="J15" s="15"/>
      <c r="K15" s="15"/>
      <c r="L15" s="15">
        <v>32302</v>
      </c>
      <c r="M15" s="15"/>
      <c r="N15" s="15">
        <v>3230</v>
      </c>
      <c r="O15" s="15"/>
      <c r="P15" s="6">
        <v>35532</v>
      </c>
    </row>
    <row r="16" spans="1:16" x14ac:dyDescent="0.3">
      <c r="A16" s="14" t="s">
        <v>39</v>
      </c>
      <c r="B16" s="14"/>
      <c r="C16" s="14" t="s">
        <v>31</v>
      </c>
      <c r="D16" s="14"/>
      <c r="E16" s="14"/>
      <c r="F16" s="4" t="s">
        <v>32</v>
      </c>
      <c r="G16" s="4" t="s">
        <v>33</v>
      </c>
      <c r="H16" s="5">
        <v>27</v>
      </c>
      <c r="I16" s="15">
        <v>1974</v>
      </c>
      <c r="J16" s="15"/>
      <c r="K16" s="15"/>
      <c r="L16" s="15">
        <v>48453</v>
      </c>
      <c r="M16" s="15"/>
      <c r="N16" s="15">
        <v>4845</v>
      </c>
      <c r="O16" s="15"/>
      <c r="P16" s="6">
        <v>53298</v>
      </c>
    </row>
    <row r="17" spans="1:16" x14ac:dyDescent="0.3">
      <c r="A17" s="14" t="s">
        <v>39</v>
      </c>
      <c r="B17" s="14"/>
      <c r="C17" s="14" t="s">
        <v>34</v>
      </c>
      <c r="D17" s="14"/>
      <c r="E17" s="14"/>
      <c r="F17" s="4" t="s">
        <v>32</v>
      </c>
      <c r="G17" s="4" t="s">
        <v>33</v>
      </c>
      <c r="H17" s="5">
        <v>35</v>
      </c>
      <c r="I17" s="15">
        <v>1974</v>
      </c>
      <c r="J17" s="15"/>
      <c r="K17" s="15"/>
      <c r="L17" s="15">
        <v>62809</v>
      </c>
      <c r="M17" s="15"/>
      <c r="N17" s="15">
        <v>6281</v>
      </c>
      <c r="O17" s="15"/>
      <c r="P17" s="6">
        <v>69090</v>
      </c>
    </row>
    <row r="18" spans="1:16" x14ac:dyDescent="0.3">
      <c r="A18" s="14" t="s">
        <v>39</v>
      </c>
      <c r="B18" s="14"/>
      <c r="C18" s="14" t="s">
        <v>35</v>
      </c>
      <c r="D18" s="14"/>
      <c r="E18" s="14"/>
      <c r="F18" s="4" t="s">
        <v>32</v>
      </c>
      <c r="G18" s="4" t="s">
        <v>33</v>
      </c>
      <c r="H18" s="5">
        <v>37</v>
      </c>
      <c r="I18" s="15">
        <v>1974</v>
      </c>
      <c r="J18" s="15"/>
      <c r="K18" s="15"/>
      <c r="L18" s="15">
        <v>66398</v>
      </c>
      <c r="M18" s="15"/>
      <c r="N18" s="15">
        <v>6640</v>
      </c>
      <c r="O18" s="15"/>
      <c r="P18" s="6">
        <v>73038</v>
      </c>
    </row>
    <row r="19" spans="1:16" x14ac:dyDescent="0.3">
      <c r="A19" s="14" t="s">
        <v>39</v>
      </c>
      <c r="B19" s="14"/>
      <c r="C19" s="14" t="s">
        <v>36</v>
      </c>
      <c r="D19" s="14"/>
      <c r="E19" s="14"/>
      <c r="F19" s="4" t="s">
        <v>32</v>
      </c>
      <c r="G19" s="4" t="s">
        <v>33</v>
      </c>
      <c r="H19" s="5">
        <v>7</v>
      </c>
      <c r="I19" s="15">
        <v>1974</v>
      </c>
      <c r="J19" s="15"/>
      <c r="K19" s="15"/>
      <c r="L19" s="15">
        <v>12562</v>
      </c>
      <c r="M19" s="15"/>
      <c r="N19" s="15">
        <v>1256</v>
      </c>
      <c r="O19" s="15"/>
      <c r="P19" s="6">
        <v>13818</v>
      </c>
    </row>
    <row r="20" spans="1:16" x14ac:dyDescent="0.3">
      <c r="A20" s="14" t="s">
        <v>39</v>
      </c>
      <c r="B20" s="14"/>
      <c r="C20" s="14" t="s">
        <v>38</v>
      </c>
      <c r="D20" s="14"/>
      <c r="E20" s="14"/>
      <c r="F20" s="4" t="s">
        <v>32</v>
      </c>
      <c r="G20" s="4" t="s">
        <v>33</v>
      </c>
      <c r="H20" s="5">
        <v>32</v>
      </c>
      <c r="I20" s="15">
        <v>1974</v>
      </c>
      <c r="J20" s="15"/>
      <c r="K20" s="15"/>
      <c r="L20" s="15">
        <v>57425</v>
      </c>
      <c r="M20" s="15"/>
      <c r="N20" s="15">
        <v>5743</v>
      </c>
      <c r="O20" s="15"/>
      <c r="P20" s="6">
        <v>63168</v>
      </c>
    </row>
    <row r="21" spans="1:16" x14ac:dyDescent="0.3">
      <c r="A21" s="14" t="s">
        <v>40</v>
      </c>
      <c r="B21" s="14"/>
      <c r="C21" s="14" t="s">
        <v>31</v>
      </c>
      <c r="D21" s="14"/>
      <c r="E21" s="14"/>
      <c r="F21" s="4" t="s">
        <v>32</v>
      </c>
      <c r="G21" s="4" t="s">
        <v>33</v>
      </c>
      <c r="H21" s="5">
        <v>60</v>
      </c>
      <c r="I21" s="15">
        <v>1974</v>
      </c>
      <c r="J21" s="15"/>
      <c r="K21" s="15"/>
      <c r="L21" s="15">
        <v>107673</v>
      </c>
      <c r="M21" s="15"/>
      <c r="N21" s="15">
        <v>10767</v>
      </c>
      <c r="O21" s="15"/>
      <c r="P21" s="6">
        <v>118440</v>
      </c>
    </row>
    <row r="22" spans="1:16" x14ac:dyDescent="0.3">
      <c r="A22" s="14" t="s">
        <v>40</v>
      </c>
      <c r="B22" s="14"/>
      <c r="C22" s="14" t="s">
        <v>34</v>
      </c>
      <c r="D22" s="14"/>
      <c r="E22" s="14"/>
      <c r="F22" s="4" t="s">
        <v>32</v>
      </c>
      <c r="G22" s="4" t="s">
        <v>33</v>
      </c>
      <c r="H22" s="5">
        <v>76</v>
      </c>
      <c r="I22" s="15">
        <v>1974</v>
      </c>
      <c r="J22" s="15"/>
      <c r="K22" s="15"/>
      <c r="L22" s="15">
        <v>136385</v>
      </c>
      <c r="M22" s="15"/>
      <c r="N22" s="15">
        <v>13639</v>
      </c>
      <c r="O22" s="15"/>
      <c r="P22" s="6">
        <v>150024</v>
      </c>
    </row>
    <row r="23" spans="1:16" x14ac:dyDescent="0.3">
      <c r="A23" s="14" t="s">
        <v>40</v>
      </c>
      <c r="B23" s="14"/>
      <c r="C23" s="14" t="s">
        <v>35</v>
      </c>
      <c r="D23" s="14"/>
      <c r="E23" s="14"/>
      <c r="F23" s="4" t="s">
        <v>32</v>
      </c>
      <c r="G23" s="4" t="s">
        <v>33</v>
      </c>
      <c r="H23" s="5">
        <v>77</v>
      </c>
      <c r="I23" s="15">
        <v>1974</v>
      </c>
      <c r="J23" s="15"/>
      <c r="K23" s="15"/>
      <c r="L23" s="15">
        <v>138180</v>
      </c>
      <c r="M23" s="15"/>
      <c r="N23" s="15">
        <v>13818</v>
      </c>
      <c r="O23" s="15"/>
      <c r="P23" s="6">
        <v>151998</v>
      </c>
    </row>
    <row r="24" spans="1:16" x14ac:dyDescent="0.3">
      <c r="A24" s="14" t="s">
        <v>40</v>
      </c>
      <c r="B24" s="14"/>
      <c r="C24" s="14" t="s">
        <v>37</v>
      </c>
      <c r="D24" s="14"/>
      <c r="E24" s="14"/>
      <c r="F24" s="4" t="s">
        <v>32</v>
      </c>
      <c r="G24" s="4" t="s">
        <v>33</v>
      </c>
      <c r="H24" s="5">
        <v>37</v>
      </c>
      <c r="I24" s="15">
        <v>1974</v>
      </c>
      <c r="J24" s="15"/>
      <c r="K24" s="15"/>
      <c r="L24" s="15">
        <v>66398</v>
      </c>
      <c r="M24" s="15"/>
      <c r="N24" s="15">
        <v>6640</v>
      </c>
      <c r="O24" s="15"/>
      <c r="P24" s="6">
        <v>73038</v>
      </c>
    </row>
    <row r="25" spans="1:16" x14ac:dyDescent="0.3">
      <c r="A25" s="14" t="s">
        <v>40</v>
      </c>
      <c r="B25" s="14"/>
      <c r="C25" s="14" t="s">
        <v>38</v>
      </c>
      <c r="D25" s="14"/>
      <c r="E25" s="14"/>
      <c r="F25" s="4" t="s">
        <v>32</v>
      </c>
      <c r="G25" s="4" t="s">
        <v>33</v>
      </c>
      <c r="H25" s="5">
        <v>73</v>
      </c>
      <c r="I25" s="15">
        <v>1974</v>
      </c>
      <c r="J25" s="15"/>
      <c r="K25" s="15"/>
      <c r="L25" s="15">
        <v>131002</v>
      </c>
      <c r="M25" s="15"/>
      <c r="N25" s="15">
        <v>13100</v>
      </c>
      <c r="O25" s="15"/>
      <c r="P25" s="6">
        <v>144102</v>
      </c>
    </row>
    <row r="26" spans="1:16" x14ac:dyDescent="0.3">
      <c r="A26" s="14" t="s">
        <v>40</v>
      </c>
      <c r="B26" s="14"/>
      <c r="C26" s="14" t="s">
        <v>36</v>
      </c>
      <c r="D26" s="14"/>
      <c r="E26" s="14"/>
      <c r="F26" s="4" t="s">
        <v>32</v>
      </c>
      <c r="G26" s="4" t="s">
        <v>33</v>
      </c>
      <c r="H26" s="5">
        <v>12</v>
      </c>
      <c r="I26" s="15">
        <v>1974</v>
      </c>
      <c r="J26" s="15"/>
      <c r="K26" s="15"/>
      <c r="L26" s="15">
        <v>21535</v>
      </c>
      <c r="M26" s="15"/>
      <c r="N26" s="15">
        <v>2153</v>
      </c>
      <c r="O26" s="15"/>
      <c r="P26" s="6">
        <v>23688</v>
      </c>
    </row>
    <row r="27" spans="1:16" x14ac:dyDescent="0.3">
      <c r="A27" s="14" t="s">
        <v>41</v>
      </c>
      <c r="B27" s="14"/>
      <c r="C27" s="14" t="s">
        <v>34</v>
      </c>
      <c r="D27" s="14"/>
      <c r="E27" s="14"/>
      <c r="F27" s="4" t="s">
        <v>32</v>
      </c>
      <c r="G27" s="4" t="s">
        <v>33</v>
      </c>
      <c r="H27" s="5">
        <v>37</v>
      </c>
      <c r="I27" s="15">
        <v>1979</v>
      </c>
      <c r="J27" s="15"/>
      <c r="K27" s="15"/>
      <c r="L27" s="15">
        <v>66566</v>
      </c>
      <c r="M27" s="15"/>
      <c r="N27" s="15">
        <v>6657</v>
      </c>
      <c r="O27" s="15"/>
      <c r="P27" s="6">
        <v>73223</v>
      </c>
    </row>
    <row r="28" spans="1:16" x14ac:dyDescent="0.3">
      <c r="A28" s="14" t="s">
        <v>41</v>
      </c>
      <c r="B28" s="14"/>
      <c r="C28" s="14" t="s">
        <v>31</v>
      </c>
      <c r="D28" s="14"/>
      <c r="E28" s="14"/>
      <c r="F28" s="4" t="s">
        <v>32</v>
      </c>
      <c r="G28" s="4" t="s">
        <v>33</v>
      </c>
      <c r="H28" s="5">
        <v>22</v>
      </c>
      <c r="I28" s="15">
        <v>1979</v>
      </c>
      <c r="J28" s="15"/>
      <c r="K28" s="15"/>
      <c r="L28" s="15">
        <v>39580</v>
      </c>
      <c r="M28" s="15"/>
      <c r="N28" s="15">
        <v>3958</v>
      </c>
      <c r="O28" s="15"/>
      <c r="P28" s="6">
        <v>43538</v>
      </c>
    </row>
    <row r="29" spans="1:16" x14ac:dyDescent="0.3">
      <c r="A29" s="14" t="s">
        <v>41</v>
      </c>
      <c r="B29" s="14"/>
      <c r="C29" s="14" t="s">
        <v>35</v>
      </c>
      <c r="D29" s="14"/>
      <c r="E29" s="14"/>
      <c r="F29" s="4" t="s">
        <v>32</v>
      </c>
      <c r="G29" s="4" t="s">
        <v>33</v>
      </c>
      <c r="H29" s="5">
        <v>42</v>
      </c>
      <c r="I29" s="15">
        <v>1979</v>
      </c>
      <c r="J29" s="15"/>
      <c r="K29" s="15"/>
      <c r="L29" s="15">
        <v>75562</v>
      </c>
      <c r="M29" s="15"/>
      <c r="N29" s="15">
        <v>7556</v>
      </c>
      <c r="O29" s="15"/>
      <c r="P29" s="6">
        <v>83118</v>
      </c>
    </row>
    <row r="30" spans="1:16" x14ac:dyDescent="0.3">
      <c r="A30" s="14" t="s">
        <v>41</v>
      </c>
      <c r="B30" s="14"/>
      <c r="C30" s="14" t="s">
        <v>36</v>
      </c>
      <c r="D30" s="14"/>
      <c r="E30" s="14"/>
      <c r="F30" s="4" t="s">
        <v>32</v>
      </c>
      <c r="G30" s="4" t="s">
        <v>33</v>
      </c>
      <c r="H30" s="5">
        <v>6</v>
      </c>
      <c r="I30" s="15">
        <v>1979</v>
      </c>
      <c r="J30" s="15"/>
      <c r="K30" s="15"/>
      <c r="L30" s="15">
        <v>10795</v>
      </c>
      <c r="M30" s="15"/>
      <c r="N30" s="15">
        <v>1079</v>
      </c>
      <c r="O30" s="15"/>
      <c r="P30" s="6">
        <v>11874</v>
      </c>
    </row>
    <row r="31" spans="1:16" x14ac:dyDescent="0.3">
      <c r="A31" s="14" t="s">
        <v>41</v>
      </c>
      <c r="B31" s="14"/>
      <c r="C31" s="14" t="s">
        <v>37</v>
      </c>
      <c r="D31" s="14"/>
      <c r="E31" s="14"/>
      <c r="F31" s="4" t="s">
        <v>32</v>
      </c>
      <c r="G31" s="4" t="s">
        <v>33</v>
      </c>
      <c r="H31" s="5">
        <v>17</v>
      </c>
      <c r="I31" s="15">
        <v>1979</v>
      </c>
      <c r="J31" s="15"/>
      <c r="K31" s="15"/>
      <c r="L31" s="15">
        <v>30585</v>
      </c>
      <c r="M31" s="15"/>
      <c r="N31" s="15">
        <v>3058</v>
      </c>
      <c r="O31" s="15"/>
      <c r="P31" s="6">
        <v>33643</v>
      </c>
    </row>
    <row r="32" spans="1:16" x14ac:dyDescent="0.3">
      <c r="A32" s="14" t="s">
        <v>41</v>
      </c>
      <c r="B32" s="14"/>
      <c r="C32" s="14" t="s">
        <v>38</v>
      </c>
      <c r="D32" s="14"/>
      <c r="E32" s="14"/>
      <c r="F32" s="4" t="s">
        <v>32</v>
      </c>
      <c r="G32" s="4" t="s">
        <v>33</v>
      </c>
      <c r="H32" s="5">
        <v>37</v>
      </c>
      <c r="I32" s="15">
        <v>1979</v>
      </c>
      <c r="J32" s="15"/>
      <c r="K32" s="15"/>
      <c r="L32" s="15">
        <v>66566</v>
      </c>
      <c r="M32" s="15"/>
      <c r="N32" s="15">
        <v>6657</v>
      </c>
      <c r="O32" s="15"/>
      <c r="P32" s="6">
        <v>73223</v>
      </c>
    </row>
    <row r="33" spans="1:16" x14ac:dyDescent="0.3">
      <c r="A33" s="14" t="s">
        <v>42</v>
      </c>
      <c r="B33" s="14"/>
      <c r="C33" s="14" t="s">
        <v>31</v>
      </c>
      <c r="D33" s="14"/>
      <c r="E33" s="14"/>
      <c r="F33" s="4" t="s">
        <v>32</v>
      </c>
      <c r="G33" s="4" t="s">
        <v>33</v>
      </c>
      <c r="H33" s="5">
        <v>53</v>
      </c>
      <c r="I33" s="15">
        <v>1979</v>
      </c>
      <c r="J33" s="15"/>
      <c r="K33" s="15"/>
      <c r="L33" s="15">
        <v>95352</v>
      </c>
      <c r="M33" s="15"/>
      <c r="N33" s="15">
        <v>9535</v>
      </c>
      <c r="O33" s="15"/>
      <c r="P33" s="6">
        <v>104887</v>
      </c>
    </row>
    <row r="34" spans="1:16" x14ac:dyDescent="0.3">
      <c r="A34" s="14" t="s">
        <v>42</v>
      </c>
      <c r="B34" s="14"/>
      <c r="C34" s="14" t="s">
        <v>34</v>
      </c>
      <c r="D34" s="14"/>
      <c r="E34" s="14"/>
      <c r="F34" s="4" t="s">
        <v>32</v>
      </c>
      <c r="G34" s="4" t="s">
        <v>33</v>
      </c>
      <c r="H34" s="5">
        <v>78</v>
      </c>
      <c r="I34" s="15">
        <v>1979</v>
      </c>
      <c r="J34" s="15"/>
      <c r="K34" s="15"/>
      <c r="L34" s="15">
        <v>140329</v>
      </c>
      <c r="M34" s="15"/>
      <c r="N34" s="15">
        <v>14033</v>
      </c>
      <c r="O34" s="15"/>
      <c r="P34" s="6">
        <v>154362</v>
      </c>
    </row>
    <row r="35" spans="1:16" x14ac:dyDescent="0.3">
      <c r="A35" s="14" t="s">
        <v>42</v>
      </c>
      <c r="B35" s="14"/>
      <c r="C35" s="14" t="s">
        <v>35</v>
      </c>
      <c r="D35" s="14"/>
      <c r="E35" s="14"/>
      <c r="F35" s="4" t="s">
        <v>32</v>
      </c>
      <c r="G35" s="4" t="s">
        <v>33</v>
      </c>
      <c r="H35" s="5">
        <v>71</v>
      </c>
      <c r="I35" s="15">
        <v>1979</v>
      </c>
      <c r="J35" s="15"/>
      <c r="K35" s="15"/>
      <c r="L35" s="15">
        <v>127735</v>
      </c>
      <c r="M35" s="15"/>
      <c r="N35" s="15">
        <v>12774</v>
      </c>
      <c r="O35" s="15"/>
      <c r="P35" s="6">
        <v>140509</v>
      </c>
    </row>
    <row r="36" spans="1:16" x14ac:dyDescent="0.3">
      <c r="A36" s="14" t="s">
        <v>42</v>
      </c>
      <c r="B36" s="14"/>
      <c r="C36" s="14" t="s">
        <v>36</v>
      </c>
      <c r="D36" s="14"/>
      <c r="E36" s="14"/>
      <c r="F36" s="4" t="s">
        <v>32</v>
      </c>
      <c r="G36" s="4" t="s">
        <v>33</v>
      </c>
      <c r="H36" s="5">
        <v>7</v>
      </c>
      <c r="I36" s="15">
        <v>1979</v>
      </c>
      <c r="J36" s="15"/>
      <c r="K36" s="15"/>
      <c r="L36" s="15">
        <v>12594</v>
      </c>
      <c r="M36" s="15"/>
      <c r="N36" s="15">
        <v>1259</v>
      </c>
      <c r="O36" s="15"/>
      <c r="P36" s="6">
        <v>13853</v>
      </c>
    </row>
    <row r="37" spans="1:16" x14ac:dyDescent="0.3">
      <c r="A37" s="14" t="s">
        <v>42</v>
      </c>
      <c r="B37" s="14"/>
      <c r="C37" s="14" t="s">
        <v>37</v>
      </c>
      <c r="D37" s="14"/>
      <c r="E37" s="14"/>
      <c r="F37" s="4" t="s">
        <v>32</v>
      </c>
      <c r="G37" s="4" t="s">
        <v>33</v>
      </c>
      <c r="H37" s="5">
        <v>31</v>
      </c>
      <c r="I37" s="15">
        <v>1979</v>
      </c>
      <c r="J37" s="15"/>
      <c r="K37" s="15"/>
      <c r="L37" s="15">
        <v>55772</v>
      </c>
      <c r="M37" s="15"/>
      <c r="N37" s="15">
        <v>5577</v>
      </c>
      <c r="O37" s="15"/>
      <c r="P37" s="6">
        <v>61349</v>
      </c>
    </row>
    <row r="38" spans="1:16" x14ac:dyDescent="0.3">
      <c r="A38" s="14" t="s">
        <v>42</v>
      </c>
      <c r="B38" s="14"/>
      <c r="C38" s="14" t="s">
        <v>38</v>
      </c>
      <c r="D38" s="14"/>
      <c r="E38" s="14"/>
      <c r="F38" s="4" t="s">
        <v>32</v>
      </c>
      <c r="G38" s="4" t="s">
        <v>33</v>
      </c>
      <c r="H38" s="5">
        <v>74</v>
      </c>
      <c r="I38" s="15">
        <v>1979</v>
      </c>
      <c r="J38" s="15"/>
      <c r="K38" s="15"/>
      <c r="L38" s="15">
        <v>133133</v>
      </c>
      <c r="M38" s="15"/>
      <c r="N38" s="15">
        <v>13313</v>
      </c>
      <c r="O38" s="15"/>
      <c r="P38" s="6">
        <v>146446</v>
      </c>
    </row>
    <row r="39" spans="1:16" x14ac:dyDescent="0.3">
      <c r="A39" s="14" t="s">
        <v>42</v>
      </c>
      <c r="B39" s="14"/>
      <c r="C39" s="14" t="s">
        <v>43</v>
      </c>
      <c r="D39" s="14"/>
      <c r="E39" s="14"/>
      <c r="F39" s="4" t="s">
        <v>32</v>
      </c>
      <c r="G39" s="4" t="s">
        <v>33</v>
      </c>
      <c r="H39" s="5">
        <v>49</v>
      </c>
      <c r="I39" s="15">
        <v>1979</v>
      </c>
      <c r="J39" s="15"/>
      <c r="K39" s="15"/>
      <c r="L39" s="15">
        <v>88155</v>
      </c>
      <c r="M39" s="15"/>
      <c r="N39" s="15">
        <v>8816</v>
      </c>
      <c r="O39" s="15"/>
      <c r="P39" s="6">
        <v>96971</v>
      </c>
    </row>
    <row r="40" spans="1:16" x14ac:dyDescent="0.3">
      <c r="A40" s="14" t="s">
        <v>44</v>
      </c>
      <c r="B40" s="14"/>
      <c r="C40" s="14" t="s">
        <v>31</v>
      </c>
      <c r="D40" s="14"/>
      <c r="E40" s="14"/>
      <c r="F40" s="4" t="s">
        <v>32</v>
      </c>
      <c r="G40" s="4" t="s">
        <v>33</v>
      </c>
      <c r="H40" s="5">
        <v>85</v>
      </c>
      <c r="I40" s="15">
        <v>1979</v>
      </c>
      <c r="J40" s="15"/>
      <c r="K40" s="15"/>
      <c r="L40" s="15">
        <v>152923</v>
      </c>
      <c r="M40" s="15"/>
      <c r="N40" s="15">
        <v>15292</v>
      </c>
      <c r="O40" s="15"/>
      <c r="P40" s="6">
        <v>168215</v>
      </c>
    </row>
    <row r="41" spans="1:16" x14ac:dyDescent="0.3">
      <c r="A41" s="14" t="s">
        <v>44</v>
      </c>
      <c r="B41" s="14"/>
      <c r="C41" s="14" t="s">
        <v>34</v>
      </c>
      <c r="D41" s="14"/>
      <c r="E41" s="14"/>
      <c r="F41" s="4" t="s">
        <v>32</v>
      </c>
      <c r="G41" s="4" t="s">
        <v>33</v>
      </c>
      <c r="H41" s="5">
        <v>62</v>
      </c>
      <c r="I41" s="15">
        <v>1979</v>
      </c>
      <c r="J41" s="15"/>
      <c r="K41" s="15"/>
      <c r="L41" s="15">
        <v>111544</v>
      </c>
      <c r="M41" s="15"/>
      <c r="N41" s="15">
        <v>11154</v>
      </c>
      <c r="O41" s="15"/>
      <c r="P41" s="6">
        <v>122698</v>
      </c>
    </row>
    <row r="42" spans="1:16" x14ac:dyDescent="0.3">
      <c r="A42" s="14" t="s">
        <v>44</v>
      </c>
      <c r="B42" s="14"/>
      <c r="C42" s="14" t="s">
        <v>35</v>
      </c>
      <c r="D42" s="14"/>
      <c r="E42" s="14"/>
      <c r="F42" s="4" t="s">
        <v>32</v>
      </c>
      <c r="G42" s="4" t="s">
        <v>33</v>
      </c>
      <c r="H42" s="5">
        <v>67</v>
      </c>
      <c r="I42" s="15">
        <v>1979</v>
      </c>
      <c r="J42" s="15"/>
      <c r="K42" s="15"/>
      <c r="L42" s="15">
        <v>120539</v>
      </c>
      <c r="M42" s="15"/>
      <c r="N42" s="15">
        <v>12054</v>
      </c>
      <c r="O42" s="15"/>
      <c r="P42" s="6">
        <v>132593</v>
      </c>
    </row>
    <row r="43" spans="1:16" x14ac:dyDescent="0.3">
      <c r="A43" s="14" t="s">
        <v>44</v>
      </c>
      <c r="B43" s="14"/>
      <c r="C43" s="14" t="s">
        <v>36</v>
      </c>
      <c r="D43" s="14"/>
      <c r="E43" s="14"/>
      <c r="F43" s="4" t="s">
        <v>32</v>
      </c>
      <c r="G43" s="4" t="s">
        <v>33</v>
      </c>
      <c r="H43" s="5">
        <v>20</v>
      </c>
      <c r="I43" s="15">
        <v>1979</v>
      </c>
      <c r="J43" s="15"/>
      <c r="K43" s="15"/>
      <c r="L43" s="15">
        <v>35982</v>
      </c>
      <c r="M43" s="15"/>
      <c r="N43" s="15">
        <v>3598</v>
      </c>
      <c r="O43" s="15"/>
      <c r="P43" s="6">
        <v>39580</v>
      </c>
    </row>
    <row r="44" spans="1:16" x14ac:dyDescent="0.3">
      <c r="A44" s="14" t="s">
        <v>44</v>
      </c>
      <c r="B44" s="14"/>
      <c r="C44" s="14" t="s">
        <v>37</v>
      </c>
      <c r="D44" s="14"/>
      <c r="E44" s="14"/>
      <c r="F44" s="4" t="s">
        <v>32</v>
      </c>
      <c r="G44" s="4" t="s">
        <v>33</v>
      </c>
      <c r="H44" s="5">
        <v>35</v>
      </c>
      <c r="I44" s="15">
        <v>1979</v>
      </c>
      <c r="J44" s="15"/>
      <c r="K44" s="15"/>
      <c r="L44" s="15">
        <v>62968</v>
      </c>
      <c r="M44" s="15"/>
      <c r="N44" s="15">
        <v>6297</v>
      </c>
      <c r="O44" s="15"/>
      <c r="P44" s="6">
        <v>69265</v>
      </c>
    </row>
    <row r="45" spans="1:16" x14ac:dyDescent="0.3">
      <c r="A45" s="14" t="s">
        <v>44</v>
      </c>
      <c r="B45" s="14"/>
      <c r="C45" s="14" t="s">
        <v>38</v>
      </c>
      <c r="D45" s="14"/>
      <c r="E45" s="14"/>
      <c r="F45" s="4" t="s">
        <v>32</v>
      </c>
      <c r="G45" s="4" t="s">
        <v>33</v>
      </c>
      <c r="H45" s="5">
        <v>66</v>
      </c>
      <c r="I45" s="15">
        <v>1979</v>
      </c>
      <c r="J45" s="15"/>
      <c r="K45" s="15"/>
      <c r="L45" s="15">
        <v>118740</v>
      </c>
      <c r="M45" s="15"/>
      <c r="N45" s="15">
        <v>11874</v>
      </c>
      <c r="O45" s="15"/>
      <c r="P45" s="6">
        <v>130614</v>
      </c>
    </row>
    <row r="46" spans="1:16" x14ac:dyDescent="0.3">
      <c r="A46" s="14" t="s">
        <v>44</v>
      </c>
      <c r="B46" s="14"/>
      <c r="C46" s="14" t="s">
        <v>43</v>
      </c>
      <c r="D46" s="14"/>
      <c r="E46" s="14"/>
      <c r="F46" s="4" t="s">
        <v>32</v>
      </c>
      <c r="G46" s="4" t="s">
        <v>33</v>
      </c>
      <c r="H46" s="5">
        <v>1</v>
      </c>
      <c r="I46" s="15">
        <v>1979</v>
      </c>
      <c r="J46" s="15"/>
      <c r="K46" s="15"/>
      <c r="L46" s="15">
        <v>1799</v>
      </c>
      <c r="M46" s="15"/>
      <c r="N46" s="15">
        <v>180</v>
      </c>
      <c r="O46" s="15"/>
      <c r="P46" s="6">
        <v>1979</v>
      </c>
    </row>
    <row r="47" spans="1:16" x14ac:dyDescent="0.3">
      <c r="A47" s="14" t="s">
        <v>45</v>
      </c>
      <c r="B47" s="14"/>
      <c r="C47" s="14" t="s">
        <v>31</v>
      </c>
      <c r="D47" s="14"/>
      <c r="E47" s="14"/>
      <c r="F47" s="4" t="s">
        <v>32</v>
      </c>
      <c r="G47" s="4" t="s">
        <v>33</v>
      </c>
      <c r="H47" s="5">
        <v>54</v>
      </c>
      <c r="I47" s="15">
        <v>1979</v>
      </c>
      <c r="J47" s="15"/>
      <c r="K47" s="15"/>
      <c r="L47" s="15">
        <v>97151</v>
      </c>
      <c r="M47" s="15"/>
      <c r="N47" s="15">
        <v>9715</v>
      </c>
      <c r="O47" s="15"/>
      <c r="P47" s="6">
        <v>106866</v>
      </c>
    </row>
    <row r="48" spans="1:16" x14ac:dyDescent="0.3">
      <c r="A48" s="14" t="s">
        <v>45</v>
      </c>
      <c r="B48" s="14"/>
      <c r="C48" s="14" t="s">
        <v>34</v>
      </c>
      <c r="D48" s="14"/>
      <c r="E48" s="14"/>
      <c r="F48" s="4" t="s">
        <v>32</v>
      </c>
      <c r="G48" s="4" t="s">
        <v>33</v>
      </c>
      <c r="H48" s="5">
        <v>24</v>
      </c>
      <c r="I48" s="15">
        <v>1979</v>
      </c>
      <c r="J48" s="15"/>
      <c r="K48" s="15"/>
      <c r="L48" s="15">
        <v>43178</v>
      </c>
      <c r="M48" s="15"/>
      <c r="N48" s="15">
        <v>4318</v>
      </c>
      <c r="O48" s="15"/>
      <c r="P48" s="6">
        <v>47496</v>
      </c>
    </row>
    <row r="49" spans="1:16" x14ac:dyDescent="0.3">
      <c r="A49" s="14" t="s">
        <v>45</v>
      </c>
      <c r="B49" s="14"/>
      <c r="C49" s="14" t="s">
        <v>35</v>
      </c>
      <c r="D49" s="14"/>
      <c r="E49" s="14"/>
      <c r="F49" s="4" t="s">
        <v>32</v>
      </c>
      <c r="G49" s="4" t="s">
        <v>33</v>
      </c>
      <c r="H49" s="5">
        <v>33</v>
      </c>
      <c r="I49" s="15">
        <v>1979</v>
      </c>
      <c r="J49" s="15"/>
      <c r="K49" s="15"/>
      <c r="L49" s="15">
        <v>59370</v>
      </c>
      <c r="M49" s="15"/>
      <c r="N49" s="15">
        <v>5937</v>
      </c>
      <c r="O49" s="15"/>
      <c r="P49" s="6">
        <v>65307</v>
      </c>
    </row>
    <row r="50" spans="1:16" x14ac:dyDescent="0.3">
      <c r="A50" s="14" t="s">
        <v>45</v>
      </c>
      <c r="B50" s="14"/>
      <c r="C50" s="14" t="s">
        <v>36</v>
      </c>
      <c r="D50" s="14"/>
      <c r="E50" s="14"/>
      <c r="F50" s="4" t="s">
        <v>32</v>
      </c>
      <c r="G50" s="4" t="s">
        <v>33</v>
      </c>
      <c r="H50" s="5">
        <v>12</v>
      </c>
      <c r="I50" s="15">
        <v>1979</v>
      </c>
      <c r="J50" s="15"/>
      <c r="K50" s="15"/>
      <c r="L50" s="15">
        <v>21589</v>
      </c>
      <c r="M50" s="15"/>
      <c r="N50" s="15">
        <v>2159</v>
      </c>
      <c r="O50" s="15"/>
      <c r="P50" s="6">
        <v>23748</v>
      </c>
    </row>
    <row r="51" spans="1:16" x14ac:dyDescent="0.3">
      <c r="A51" s="14" t="s">
        <v>45</v>
      </c>
      <c r="B51" s="14"/>
      <c r="C51" s="14" t="s">
        <v>37</v>
      </c>
      <c r="D51" s="14"/>
      <c r="E51" s="14"/>
      <c r="F51" s="4" t="s">
        <v>32</v>
      </c>
      <c r="G51" s="4" t="s">
        <v>33</v>
      </c>
      <c r="H51" s="5">
        <v>28</v>
      </c>
      <c r="I51" s="15">
        <v>1979</v>
      </c>
      <c r="J51" s="15"/>
      <c r="K51" s="15"/>
      <c r="L51" s="15">
        <v>50375</v>
      </c>
      <c r="M51" s="15"/>
      <c r="N51" s="15">
        <v>5037</v>
      </c>
      <c r="O51" s="15"/>
      <c r="P51" s="6">
        <v>55412</v>
      </c>
    </row>
    <row r="52" spans="1:16" x14ac:dyDescent="0.3">
      <c r="A52" s="14" t="s">
        <v>45</v>
      </c>
      <c r="B52" s="14"/>
      <c r="C52" s="14" t="s">
        <v>38</v>
      </c>
      <c r="D52" s="14"/>
      <c r="E52" s="14"/>
      <c r="F52" s="4" t="s">
        <v>32</v>
      </c>
      <c r="G52" s="4" t="s">
        <v>33</v>
      </c>
      <c r="H52" s="5">
        <v>34</v>
      </c>
      <c r="I52" s="15">
        <v>1979</v>
      </c>
      <c r="J52" s="15"/>
      <c r="K52" s="15"/>
      <c r="L52" s="15">
        <v>61169</v>
      </c>
      <c r="M52" s="15"/>
      <c r="N52" s="15">
        <v>6117</v>
      </c>
      <c r="O52" s="15"/>
      <c r="P52" s="6">
        <v>67286</v>
      </c>
    </row>
    <row r="53" spans="1:16" x14ac:dyDescent="0.3">
      <c r="A53" s="14" t="s">
        <v>47</v>
      </c>
      <c r="B53" s="14"/>
      <c r="C53" s="14" t="s">
        <v>31</v>
      </c>
      <c r="D53" s="14"/>
      <c r="E53" s="14"/>
      <c r="F53" s="4" t="s">
        <v>32</v>
      </c>
      <c r="G53" s="4" t="s">
        <v>33</v>
      </c>
      <c r="H53" s="5">
        <v>91</v>
      </c>
      <c r="I53" s="15">
        <v>1979</v>
      </c>
      <c r="J53" s="15"/>
      <c r="K53" s="15"/>
      <c r="L53" s="15">
        <v>163717</v>
      </c>
      <c r="M53" s="15"/>
      <c r="N53" s="15">
        <v>16372</v>
      </c>
      <c r="O53" s="15"/>
      <c r="P53" s="6">
        <v>180089</v>
      </c>
    </row>
    <row r="54" spans="1:16" x14ac:dyDescent="0.3">
      <c r="A54" s="14" t="s">
        <v>47</v>
      </c>
      <c r="B54" s="14"/>
      <c r="C54" s="14" t="s">
        <v>34</v>
      </c>
      <c r="D54" s="14"/>
      <c r="E54" s="14"/>
      <c r="F54" s="4" t="s">
        <v>32</v>
      </c>
      <c r="G54" s="4" t="s">
        <v>33</v>
      </c>
      <c r="H54" s="5">
        <v>65</v>
      </c>
      <c r="I54" s="15">
        <v>1979</v>
      </c>
      <c r="J54" s="15"/>
      <c r="K54" s="15"/>
      <c r="L54" s="15">
        <v>116941</v>
      </c>
      <c r="M54" s="15"/>
      <c r="N54" s="15">
        <v>11694</v>
      </c>
      <c r="O54" s="15"/>
      <c r="P54" s="6">
        <v>128635</v>
      </c>
    </row>
    <row r="55" spans="1:16" x14ac:dyDescent="0.3">
      <c r="A55" s="14" t="s">
        <v>47</v>
      </c>
      <c r="B55" s="14"/>
      <c r="C55" s="14" t="s">
        <v>35</v>
      </c>
      <c r="D55" s="14"/>
      <c r="E55" s="14"/>
      <c r="F55" s="4" t="s">
        <v>32</v>
      </c>
      <c r="G55" s="4" t="s">
        <v>33</v>
      </c>
      <c r="H55" s="5">
        <v>74</v>
      </c>
      <c r="I55" s="15">
        <v>1979</v>
      </c>
      <c r="J55" s="15"/>
      <c r="K55" s="15"/>
      <c r="L55" s="15">
        <v>133133</v>
      </c>
      <c r="M55" s="15"/>
      <c r="N55" s="15">
        <v>13313</v>
      </c>
      <c r="O55" s="15"/>
      <c r="P55" s="6">
        <v>146446</v>
      </c>
    </row>
    <row r="56" spans="1:16" x14ac:dyDescent="0.3">
      <c r="A56" s="14" t="s">
        <v>47</v>
      </c>
      <c r="B56" s="14"/>
      <c r="C56" s="14" t="s">
        <v>36</v>
      </c>
      <c r="D56" s="14"/>
      <c r="E56" s="14"/>
      <c r="F56" s="4" t="s">
        <v>32</v>
      </c>
      <c r="G56" s="4" t="s">
        <v>33</v>
      </c>
      <c r="H56" s="5">
        <v>11</v>
      </c>
      <c r="I56" s="15">
        <v>1979</v>
      </c>
      <c r="J56" s="15"/>
      <c r="K56" s="15"/>
      <c r="L56" s="15">
        <v>19790</v>
      </c>
      <c r="M56" s="15"/>
      <c r="N56" s="15">
        <v>1979</v>
      </c>
      <c r="O56" s="15"/>
      <c r="P56" s="6">
        <v>21769</v>
      </c>
    </row>
    <row r="57" spans="1:16" x14ac:dyDescent="0.3">
      <c r="A57" s="14" t="s">
        <v>47</v>
      </c>
      <c r="B57" s="14"/>
      <c r="C57" s="14" t="s">
        <v>37</v>
      </c>
      <c r="D57" s="14"/>
      <c r="E57" s="14"/>
      <c r="F57" s="4" t="s">
        <v>32</v>
      </c>
      <c r="G57" s="4" t="s">
        <v>33</v>
      </c>
      <c r="H57" s="5">
        <v>28</v>
      </c>
      <c r="I57" s="15">
        <v>1979</v>
      </c>
      <c r="J57" s="15"/>
      <c r="K57" s="15"/>
      <c r="L57" s="15">
        <v>50375</v>
      </c>
      <c r="M57" s="15"/>
      <c r="N57" s="15">
        <v>5037</v>
      </c>
      <c r="O57" s="15"/>
      <c r="P57" s="6">
        <v>55412</v>
      </c>
    </row>
    <row r="58" spans="1:16" x14ac:dyDescent="0.3">
      <c r="A58" s="14" t="s">
        <v>47</v>
      </c>
      <c r="B58" s="14"/>
      <c r="C58" s="14" t="s">
        <v>38</v>
      </c>
      <c r="D58" s="14"/>
      <c r="E58" s="14"/>
      <c r="F58" s="4" t="s">
        <v>32</v>
      </c>
      <c r="G58" s="4" t="s">
        <v>33</v>
      </c>
      <c r="H58" s="5">
        <v>64</v>
      </c>
      <c r="I58" s="15">
        <v>1979</v>
      </c>
      <c r="J58" s="15"/>
      <c r="K58" s="15"/>
      <c r="L58" s="15">
        <v>115142</v>
      </c>
      <c r="M58" s="15"/>
      <c r="N58" s="15">
        <v>11514</v>
      </c>
      <c r="O58" s="15"/>
      <c r="P58" s="6">
        <v>126656</v>
      </c>
    </row>
    <row r="59" spans="1:16" x14ac:dyDescent="0.3">
      <c r="A59" s="14" t="s">
        <v>48</v>
      </c>
      <c r="B59" s="14"/>
      <c r="C59" s="14" t="s">
        <v>34</v>
      </c>
      <c r="D59" s="14"/>
      <c r="E59" s="14"/>
      <c r="F59" s="4" t="s">
        <v>32</v>
      </c>
      <c r="G59" s="4" t="s">
        <v>33</v>
      </c>
      <c r="H59" s="5">
        <v>54</v>
      </c>
      <c r="I59" s="15">
        <v>1979</v>
      </c>
      <c r="J59" s="15"/>
      <c r="K59" s="15"/>
      <c r="L59" s="15">
        <v>97151</v>
      </c>
      <c r="M59" s="15"/>
      <c r="N59" s="15">
        <v>9715</v>
      </c>
      <c r="O59" s="15"/>
      <c r="P59" s="6">
        <v>106866</v>
      </c>
    </row>
    <row r="60" spans="1:16" x14ac:dyDescent="0.3">
      <c r="A60" s="14" t="s">
        <v>48</v>
      </c>
      <c r="B60" s="14"/>
      <c r="C60" s="14" t="s">
        <v>35</v>
      </c>
      <c r="D60" s="14"/>
      <c r="E60" s="14"/>
      <c r="F60" s="4" t="s">
        <v>32</v>
      </c>
      <c r="G60" s="4" t="s">
        <v>33</v>
      </c>
      <c r="H60" s="5">
        <v>70</v>
      </c>
      <c r="I60" s="15">
        <v>1979</v>
      </c>
      <c r="J60" s="15"/>
      <c r="K60" s="15"/>
      <c r="L60" s="15">
        <v>125936</v>
      </c>
      <c r="M60" s="15"/>
      <c r="N60" s="15">
        <v>12594</v>
      </c>
      <c r="O60" s="15"/>
      <c r="P60" s="6">
        <v>138530</v>
      </c>
    </row>
    <row r="61" spans="1:16" x14ac:dyDescent="0.3">
      <c r="A61" s="14" t="s">
        <v>48</v>
      </c>
      <c r="B61" s="14"/>
      <c r="C61" s="14" t="s">
        <v>36</v>
      </c>
      <c r="D61" s="14"/>
      <c r="E61" s="14"/>
      <c r="F61" s="4" t="s">
        <v>32</v>
      </c>
      <c r="G61" s="4" t="s">
        <v>33</v>
      </c>
      <c r="H61" s="5">
        <v>12</v>
      </c>
      <c r="I61" s="15">
        <v>1979</v>
      </c>
      <c r="J61" s="15"/>
      <c r="K61" s="15"/>
      <c r="L61" s="15">
        <v>21589</v>
      </c>
      <c r="M61" s="15"/>
      <c r="N61" s="15">
        <v>2159</v>
      </c>
      <c r="O61" s="15"/>
      <c r="P61" s="6">
        <v>23748</v>
      </c>
    </row>
    <row r="62" spans="1:16" x14ac:dyDescent="0.3">
      <c r="A62" s="14" t="s">
        <v>48</v>
      </c>
      <c r="B62" s="14"/>
      <c r="C62" s="14" t="s">
        <v>37</v>
      </c>
      <c r="D62" s="14"/>
      <c r="E62" s="14"/>
      <c r="F62" s="4" t="s">
        <v>32</v>
      </c>
      <c r="G62" s="4" t="s">
        <v>33</v>
      </c>
      <c r="H62" s="5">
        <v>38</v>
      </c>
      <c r="I62" s="15">
        <v>1979</v>
      </c>
      <c r="J62" s="15"/>
      <c r="K62" s="15"/>
      <c r="L62" s="15">
        <v>68365</v>
      </c>
      <c r="M62" s="15"/>
      <c r="N62" s="15">
        <v>6837</v>
      </c>
      <c r="O62" s="15"/>
      <c r="P62" s="6">
        <v>75202</v>
      </c>
    </row>
    <row r="63" spans="1:16" x14ac:dyDescent="0.3">
      <c r="A63" s="14" t="s">
        <v>48</v>
      </c>
      <c r="B63" s="14"/>
      <c r="C63" s="14" t="s">
        <v>38</v>
      </c>
      <c r="D63" s="14"/>
      <c r="E63" s="14"/>
      <c r="F63" s="4" t="s">
        <v>32</v>
      </c>
      <c r="G63" s="4" t="s">
        <v>33</v>
      </c>
      <c r="H63" s="5">
        <v>55</v>
      </c>
      <c r="I63" s="15">
        <v>1979</v>
      </c>
      <c r="J63" s="15"/>
      <c r="K63" s="15"/>
      <c r="L63" s="15">
        <v>98950</v>
      </c>
      <c r="M63" s="15"/>
      <c r="N63" s="15">
        <v>9895</v>
      </c>
      <c r="O63" s="15"/>
      <c r="P63" s="6">
        <v>108845</v>
      </c>
    </row>
    <row r="64" spans="1:16" x14ac:dyDescent="0.3">
      <c r="A64" s="14" t="s">
        <v>48</v>
      </c>
      <c r="B64" s="14"/>
      <c r="C64" s="14" t="s">
        <v>31</v>
      </c>
      <c r="D64" s="14"/>
      <c r="E64" s="14"/>
      <c r="F64" s="4" t="s">
        <v>32</v>
      </c>
      <c r="G64" s="4" t="s">
        <v>33</v>
      </c>
      <c r="H64" s="5">
        <v>76</v>
      </c>
      <c r="I64" s="15">
        <v>1979</v>
      </c>
      <c r="J64" s="15"/>
      <c r="K64" s="15"/>
      <c r="L64" s="15">
        <v>136731</v>
      </c>
      <c r="M64" s="15"/>
      <c r="N64" s="15">
        <v>13673</v>
      </c>
      <c r="O64" s="15"/>
      <c r="P64" s="6">
        <v>150404</v>
      </c>
    </row>
    <row r="65" spans="1:16" x14ac:dyDescent="0.3">
      <c r="A65" s="14" t="s">
        <v>48</v>
      </c>
      <c r="B65" s="14"/>
      <c r="C65" s="14" t="s">
        <v>43</v>
      </c>
      <c r="D65" s="14"/>
      <c r="E65" s="14"/>
      <c r="F65" s="4" t="s">
        <v>32</v>
      </c>
      <c r="G65" s="4" t="s">
        <v>33</v>
      </c>
      <c r="H65" s="5">
        <v>31</v>
      </c>
      <c r="I65" s="15">
        <v>1979</v>
      </c>
      <c r="J65" s="15"/>
      <c r="K65" s="15"/>
      <c r="L65" s="15">
        <v>55772</v>
      </c>
      <c r="M65" s="15"/>
      <c r="N65" s="15">
        <v>5577</v>
      </c>
      <c r="O65" s="15"/>
      <c r="P65" s="6">
        <v>61349</v>
      </c>
    </row>
    <row r="66" spans="1:16" x14ac:dyDescent="0.3">
      <c r="A66" s="14" t="s">
        <v>49</v>
      </c>
      <c r="B66" s="14"/>
      <c r="C66" s="14" t="s">
        <v>38</v>
      </c>
      <c r="D66" s="14"/>
      <c r="E66" s="14"/>
      <c r="F66" s="4" t="s">
        <v>32</v>
      </c>
      <c r="G66" s="4" t="s">
        <v>33</v>
      </c>
      <c r="H66" s="5">
        <v>79</v>
      </c>
      <c r="I66" s="15">
        <v>1979</v>
      </c>
      <c r="J66" s="15"/>
      <c r="K66" s="15"/>
      <c r="L66" s="15">
        <v>142128</v>
      </c>
      <c r="M66" s="15"/>
      <c r="N66" s="15">
        <v>14213</v>
      </c>
      <c r="O66" s="15"/>
      <c r="P66" s="6">
        <v>156341</v>
      </c>
    </row>
    <row r="67" spans="1:16" x14ac:dyDescent="0.3">
      <c r="A67" s="14" t="s">
        <v>49</v>
      </c>
      <c r="B67" s="14"/>
      <c r="C67" s="14" t="s">
        <v>35</v>
      </c>
      <c r="D67" s="14"/>
      <c r="E67" s="14"/>
      <c r="F67" s="4" t="s">
        <v>32</v>
      </c>
      <c r="G67" s="4" t="s">
        <v>33</v>
      </c>
      <c r="H67" s="5">
        <v>64</v>
      </c>
      <c r="I67" s="15">
        <v>1979</v>
      </c>
      <c r="J67" s="15"/>
      <c r="K67" s="15"/>
      <c r="L67" s="15">
        <v>115142</v>
      </c>
      <c r="M67" s="15"/>
      <c r="N67" s="15">
        <v>11514</v>
      </c>
      <c r="O67" s="15"/>
      <c r="P67" s="6">
        <v>126656</v>
      </c>
    </row>
    <row r="68" spans="1:16" x14ac:dyDescent="0.3">
      <c r="A68" s="14" t="s">
        <v>49</v>
      </c>
      <c r="B68" s="14"/>
      <c r="C68" s="14" t="s">
        <v>36</v>
      </c>
      <c r="D68" s="14"/>
      <c r="E68" s="14"/>
      <c r="F68" s="4" t="s">
        <v>32</v>
      </c>
      <c r="G68" s="4" t="s">
        <v>33</v>
      </c>
      <c r="H68" s="5">
        <v>11</v>
      </c>
      <c r="I68" s="15">
        <v>1979</v>
      </c>
      <c r="J68" s="15"/>
      <c r="K68" s="15"/>
      <c r="L68" s="15">
        <v>19790</v>
      </c>
      <c r="M68" s="15"/>
      <c r="N68" s="15">
        <v>1979</v>
      </c>
      <c r="O68" s="15"/>
      <c r="P68" s="6">
        <v>21769</v>
      </c>
    </row>
    <row r="69" spans="1:16" x14ac:dyDescent="0.3">
      <c r="A69" s="14" t="s">
        <v>49</v>
      </c>
      <c r="B69" s="14"/>
      <c r="C69" s="14" t="s">
        <v>37</v>
      </c>
      <c r="D69" s="14"/>
      <c r="E69" s="14"/>
      <c r="F69" s="4" t="s">
        <v>32</v>
      </c>
      <c r="G69" s="4" t="s">
        <v>33</v>
      </c>
      <c r="H69" s="5">
        <v>25</v>
      </c>
      <c r="I69" s="15">
        <v>1979</v>
      </c>
      <c r="J69" s="15"/>
      <c r="K69" s="15"/>
      <c r="L69" s="15">
        <v>44977</v>
      </c>
      <c r="M69" s="15"/>
      <c r="N69" s="15">
        <v>4498</v>
      </c>
      <c r="O69" s="15"/>
      <c r="P69" s="6">
        <v>49475</v>
      </c>
    </row>
    <row r="70" spans="1:16" x14ac:dyDescent="0.3">
      <c r="A70" s="14" t="s">
        <v>49</v>
      </c>
      <c r="B70" s="14"/>
      <c r="C70" s="14" t="s">
        <v>31</v>
      </c>
      <c r="D70" s="14"/>
      <c r="E70" s="14"/>
      <c r="F70" s="4" t="s">
        <v>32</v>
      </c>
      <c r="G70" s="4" t="s">
        <v>33</v>
      </c>
      <c r="H70" s="5">
        <v>89</v>
      </c>
      <c r="I70" s="15">
        <v>1979</v>
      </c>
      <c r="J70" s="15"/>
      <c r="K70" s="15"/>
      <c r="L70" s="15">
        <v>160119</v>
      </c>
      <c r="M70" s="15"/>
      <c r="N70" s="15">
        <v>16012</v>
      </c>
      <c r="O70" s="15"/>
      <c r="P70" s="6">
        <v>176131</v>
      </c>
    </row>
    <row r="71" spans="1:16" x14ac:dyDescent="0.3">
      <c r="A71" s="14" t="s">
        <v>49</v>
      </c>
      <c r="B71" s="14"/>
      <c r="C71" s="14" t="s">
        <v>34</v>
      </c>
      <c r="D71" s="14"/>
      <c r="E71" s="14"/>
      <c r="F71" s="4" t="s">
        <v>32</v>
      </c>
      <c r="G71" s="4" t="s">
        <v>33</v>
      </c>
      <c r="H71" s="5">
        <v>45</v>
      </c>
      <c r="I71" s="15">
        <v>1979</v>
      </c>
      <c r="J71" s="15"/>
      <c r="K71" s="15"/>
      <c r="L71" s="15">
        <v>80959</v>
      </c>
      <c r="M71" s="15"/>
      <c r="N71" s="15">
        <v>8096</v>
      </c>
      <c r="O71" s="15"/>
      <c r="P71" s="6">
        <v>89055</v>
      </c>
    </row>
    <row r="72" spans="1:16" x14ac:dyDescent="0.3">
      <c r="A72" s="14" t="s">
        <v>50</v>
      </c>
      <c r="B72" s="14"/>
      <c r="C72" s="14" t="s">
        <v>35</v>
      </c>
      <c r="D72" s="14"/>
      <c r="E72" s="14"/>
      <c r="F72" s="4" t="s">
        <v>32</v>
      </c>
      <c r="G72" s="4" t="s">
        <v>33</v>
      </c>
      <c r="H72" s="5">
        <v>80</v>
      </c>
      <c r="I72" s="15">
        <v>1979</v>
      </c>
      <c r="J72" s="15"/>
      <c r="K72" s="15"/>
      <c r="L72" s="15">
        <v>143927</v>
      </c>
      <c r="M72" s="15"/>
      <c r="N72" s="15">
        <v>14393</v>
      </c>
      <c r="O72" s="15"/>
      <c r="P72" s="6">
        <v>158320</v>
      </c>
    </row>
    <row r="73" spans="1:16" x14ac:dyDescent="0.3">
      <c r="A73" s="14" t="s">
        <v>50</v>
      </c>
      <c r="B73" s="14"/>
      <c r="C73" s="14" t="s">
        <v>37</v>
      </c>
      <c r="D73" s="14"/>
      <c r="E73" s="14"/>
      <c r="F73" s="4" t="s">
        <v>32</v>
      </c>
      <c r="G73" s="4" t="s">
        <v>33</v>
      </c>
      <c r="H73" s="5">
        <v>32</v>
      </c>
      <c r="I73" s="15">
        <v>1979</v>
      </c>
      <c r="J73" s="15"/>
      <c r="K73" s="15"/>
      <c r="L73" s="15">
        <v>57571</v>
      </c>
      <c r="M73" s="15"/>
      <c r="N73" s="15">
        <v>5757</v>
      </c>
      <c r="O73" s="15"/>
      <c r="P73" s="6">
        <v>63328</v>
      </c>
    </row>
    <row r="74" spans="1:16" x14ac:dyDescent="0.3">
      <c r="A74" s="14" t="s">
        <v>50</v>
      </c>
      <c r="B74" s="14"/>
      <c r="C74" s="14" t="s">
        <v>36</v>
      </c>
      <c r="D74" s="14"/>
      <c r="E74" s="14"/>
      <c r="F74" s="4" t="s">
        <v>32</v>
      </c>
      <c r="G74" s="4" t="s">
        <v>33</v>
      </c>
      <c r="H74" s="5">
        <v>12</v>
      </c>
      <c r="I74" s="15">
        <v>1979</v>
      </c>
      <c r="J74" s="15"/>
      <c r="K74" s="15"/>
      <c r="L74" s="15">
        <v>21589</v>
      </c>
      <c r="M74" s="15"/>
      <c r="N74" s="15">
        <v>2159</v>
      </c>
      <c r="O74" s="15"/>
      <c r="P74" s="6">
        <v>23748</v>
      </c>
    </row>
    <row r="75" spans="1:16" x14ac:dyDescent="0.3">
      <c r="A75" s="14" t="s">
        <v>50</v>
      </c>
      <c r="B75" s="14"/>
      <c r="C75" s="14" t="s">
        <v>38</v>
      </c>
      <c r="D75" s="14"/>
      <c r="E75" s="14"/>
      <c r="F75" s="4" t="s">
        <v>32</v>
      </c>
      <c r="G75" s="4" t="s">
        <v>33</v>
      </c>
      <c r="H75" s="5">
        <v>87</v>
      </c>
      <c r="I75" s="15">
        <v>1979</v>
      </c>
      <c r="J75" s="15"/>
      <c r="K75" s="15"/>
      <c r="L75" s="15">
        <v>156521</v>
      </c>
      <c r="M75" s="15"/>
      <c r="N75" s="15">
        <v>15652</v>
      </c>
      <c r="O75" s="15"/>
      <c r="P75" s="6">
        <v>172173</v>
      </c>
    </row>
    <row r="76" spans="1:16" x14ac:dyDescent="0.25">
      <c r="A76" s="14" t="s">
        <v>50</v>
      </c>
      <c r="B76" s="14"/>
      <c r="C76" s="14" t="s">
        <v>31</v>
      </c>
      <c r="D76" s="14"/>
      <c r="E76" s="14"/>
      <c r="F76" s="4" t="s">
        <v>32</v>
      </c>
      <c r="G76" s="4" t="s">
        <v>33</v>
      </c>
      <c r="H76" s="5">
        <v>79</v>
      </c>
      <c r="I76" s="15">
        <v>1979</v>
      </c>
      <c r="J76" s="15"/>
      <c r="K76" s="15"/>
      <c r="L76" s="15">
        <v>142128</v>
      </c>
      <c r="M76" s="15"/>
      <c r="N76" s="15">
        <v>14213</v>
      </c>
      <c r="O76" s="15"/>
      <c r="P76" s="6">
        <v>156341</v>
      </c>
    </row>
    <row r="77" spans="1:16" x14ac:dyDescent="0.3">
      <c r="A77" s="14" t="s">
        <v>50</v>
      </c>
      <c r="B77" s="14"/>
      <c r="C77" s="14" t="s">
        <v>34</v>
      </c>
      <c r="D77" s="14"/>
      <c r="E77" s="14"/>
      <c r="F77" s="4" t="s">
        <v>32</v>
      </c>
      <c r="G77" s="4" t="s">
        <v>33</v>
      </c>
      <c r="H77" s="5">
        <v>47</v>
      </c>
      <c r="I77" s="15">
        <v>1979</v>
      </c>
      <c r="J77" s="15"/>
      <c r="K77" s="15"/>
      <c r="L77" s="15">
        <v>84557</v>
      </c>
      <c r="M77" s="15"/>
      <c r="N77" s="15">
        <v>8456</v>
      </c>
      <c r="O77" s="15"/>
      <c r="P77" s="6">
        <v>93013</v>
      </c>
    </row>
    <row r="78" spans="1:16" x14ac:dyDescent="0.3">
      <c r="A78" s="14" t="s">
        <v>50</v>
      </c>
      <c r="B78" s="14"/>
      <c r="C78" s="14" t="s">
        <v>43</v>
      </c>
      <c r="D78" s="14"/>
      <c r="E78" s="14"/>
      <c r="F78" s="4" t="s">
        <v>32</v>
      </c>
      <c r="G78" s="4" t="s">
        <v>33</v>
      </c>
      <c r="H78" s="5">
        <v>3</v>
      </c>
      <c r="I78" s="15">
        <v>1979</v>
      </c>
      <c r="J78" s="15"/>
      <c r="K78" s="15"/>
      <c r="L78" s="15">
        <v>5397</v>
      </c>
      <c r="M78" s="15"/>
      <c r="N78" s="15">
        <v>540</v>
      </c>
      <c r="O78" s="15"/>
      <c r="P78" s="6">
        <v>5937</v>
      </c>
    </row>
    <row r="79" spans="1:16" ht="17.25" customHeight="1" x14ac:dyDescent="0.3">
      <c r="A79" s="16" t="s">
        <v>51</v>
      </c>
      <c r="B79" s="16"/>
      <c r="C79" s="16"/>
      <c r="D79" s="16"/>
      <c r="E79" s="16"/>
      <c r="F79" s="16"/>
      <c r="G79" s="16"/>
      <c r="H79" s="7">
        <f>SUM(H9:H78)</f>
        <v>3159</v>
      </c>
      <c r="I79" s="16" t="s">
        <v>4</v>
      </c>
      <c r="J79" s="16"/>
      <c r="K79" s="16"/>
      <c r="L79" s="24">
        <f t="shared" ref="L79" si="0">SUM(L9:L78)</f>
        <v>5679729</v>
      </c>
      <c r="M79" s="25">
        <f t="shared" ref="M79" si="1">SUM(M9:M78)</f>
        <v>0</v>
      </c>
      <c r="N79" s="17">
        <f t="shared" ref="N79:O79" si="2">SUM(N9:N78)</f>
        <v>567972</v>
      </c>
      <c r="O79" s="17">
        <f t="shared" si="2"/>
        <v>0</v>
      </c>
      <c r="P79" s="8">
        <f>SUM(P9:P78)</f>
        <v>6247701</v>
      </c>
    </row>
  </sheetData>
  <mergeCells count="376">
    <mergeCell ref="A79:G79"/>
    <mergeCell ref="I79:K79"/>
    <mergeCell ref="L79:M79"/>
    <mergeCell ref="N79:O79"/>
    <mergeCell ref="N10:O10"/>
    <mergeCell ref="L10:M10"/>
    <mergeCell ref="I10:K10"/>
    <mergeCell ref="C10:E10"/>
    <mergeCell ref="A10:B10"/>
    <mergeCell ref="A77:B77"/>
    <mergeCell ref="C77:E77"/>
    <mergeCell ref="I77:K77"/>
    <mergeCell ref="L77:M77"/>
    <mergeCell ref="N77:O77"/>
    <mergeCell ref="A78:B78"/>
    <mergeCell ref="C78:E78"/>
    <mergeCell ref="I78:K78"/>
    <mergeCell ref="L78:M78"/>
    <mergeCell ref="N78:O78"/>
    <mergeCell ref="A75:B75"/>
    <mergeCell ref="C75:E75"/>
    <mergeCell ref="I75:K75"/>
    <mergeCell ref="L75:M75"/>
    <mergeCell ref="N75:O75"/>
    <mergeCell ref="A76:B76"/>
    <mergeCell ref="C76:E76"/>
    <mergeCell ref="I76:K76"/>
    <mergeCell ref="L76:M76"/>
    <mergeCell ref="N76:O76"/>
    <mergeCell ref="A73:B73"/>
    <mergeCell ref="C73:E73"/>
    <mergeCell ref="I73:K73"/>
    <mergeCell ref="L73:M73"/>
    <mergeCell ref="N73:O73"/>
    <mergeCell ref="A74:B74"/>
    <mergeCell ref="C74:E74"/>
    <mergeCell ref="I74:K74"/>
    <mergeCell ref="L74:M74"/>
    <mergeCell ref="N74:O74"/>
    <mergeCell ref="A68:B68"/>
    <mergeCell ref="C68:E68"/>
    <mergeCell ref="I68:K68"/>
    <mergeCell ref="L68:M68"/>
    <mergeCell ref="N68:O68"/>
    <mergeCell ref="A72:B72"/>
    <mergeCell ref="C72:E72"/>
    <mergeCell ref="I72:K72"/>
    <mergeCell ref="L72:M72"/>
    <mergeCell ref="N72:O72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59:B59"/>
    <mergeCell ref="C59:E59"/>
    <mergeCell ref="I59:K59"/>
    <mergeCell ref="L59:M59"/>
    <mergeCell ref="N59:O59"/>
    <mergeCell ref="A69:B69"/>
    <mergeCell ref="C69:E69"/>
    <mergeCell ref="I69:K69"/>
    <mergeCell ref="L69:M69"/>
    <mergeCell ref="N69:O69"/>
    <mergeCell ref="A61:B61"/>
    <mergeCell ref="C61:E61"/>
    <mergeCell ref="I61:K61"/>
    <mergeCell ref="L61:M61"/>
    <mergeCell ref="N61:O61"/>
    <mergeCell ref="A60:B60"/>
    <mergeCell ref="C60:E60"/>
    <mergeCell ref="I60:K60"/>
    <mergeCell ref="L60:M60"/>
    <mergeCell ref="N60:O60"/>
    <mergeCell ref="A63:B63"/>
    <mergeCell ref="C63:E63"/>
    <mergeCell ref="I63:K63"/>
    <mergeCell ref="L63:M63"/>
    <mergeCell ref="N63:O63"/>
    <mergeCell ref="A62:B62"/>
    <mergeCell ref="C62:E62"/>
    <mergeCell ref="I62:K62"/>
    <mergeCell ref="L62:M62"/>
    <mergeCell ref="N62:O62"/>
    <mergeCell ref="A65:B65"/>
    <mergeCell ref="C65:E65"/>
    <mergeCell ref="I65:K65"/>
    <mergeCell ref="L65:M65"/>
    <mergeCell ref="N65:O65"/>
    <mergeCell ref="A64:B64"/>
    <mergeCell ref="C64:E64"/>
    <mergeCell ref="I64:K64"/>
    <mergeCell ref="L64:M64"/>
    <mergeCell ref="N64:O64"/>
    <mergeCell ref="A56:B56"/>
    <mergeCell ref="C56:E56"/>
    <mergeCell ref="I56:K56"/>
    <mergeCell ref="L56:M56"/>
    <mergeCell ref="N56:O56"/>
    <mergeCell ref="A55:B55"/>
    <mergeCell ref="C55:E55"/>
    <mergeCell ref="I55:K55"/>
    <mergeCell ref="L55:M55"/>
    <mergeCell ref="N55:O55"/>
    <mergeCell ref="A58:B58"/>
    <mergeCell ref="C58:E58"/>
    <mergeCell ref="I58:K58"/>
    <mergeCell ref="L58:M58"/>
    <mergeCell ref="N58:O58"/>
    <mergeCell ref="A57:B57"/>
    <mergeCell ref="C57:E57"/>
    <mergeCell ref="I57:K57"/>
    <mergeCell ref="L57:M57"/>
    <mergeCell ref="N57:O57"/>
    <mergeCell ref="A54:B54"/>
    <mergeCell ref="C54:E54"/>
    <mergeCell ref="I54:K54"/>
    <mergeCell ref="L54:M54"/>
    <mergeCell ref="N54:O54"/>
    <mergeCell ref="A53:B53"/>
    <mergeCell ref="C53:E53"/>
    <mergeCell ref="I53:K53"/>
    <mergeCell ref="L53:M53"/>
    <mergeCell ref="N53:O53"/>
    <mergeCell ref="A52:B52"/>
    <mergeCell ref="C52:E52"/>
    <mergeCell ref="I52:K52"/>
    <mergeCell ref="L52:M52"/>
    <mergeCell ref="N52:O52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41:B41"/>
    <mergeCell ref="C41:E41"/>
    <mergeCell ref="I41:K41"/>
    <mergeCell ref="L41:M41"/>
    <mergeCell ref="N41:O41"/>
    <mergeCell ref="A47:B47"/>
    <mergeCell ref="C47:E47"/>
    <mergeCell ref="I47:K47"/>
    <mergeCell ref="L47:M47"/>
    <mergeCell ref="N47:O47"/>
    <mergeCell ref="A42:B42"/>
    <mergeCell ref="C42:E42"/>
    <mergeCell ref="I42:K42"/>
    <mergeCell ref="L42:M42"/>
    <mergeCell ref="N42:O42"/>
    <mergeCell ref="A40:B40"/>
    <mergeCell ref="C40:E40"/>
    <mergeCell ref="I40:K40"/>
    <mergeCell ref="L40:M40"/>
    <mergeCell ref="N40:O40"/>
    <mergeCell ref="A44:B44"/>
    <mergeCell ref="C44:E44"/>
    <mergeCell ref="I44:K44"/>
    <mergeCell ref="L44:M44"/>
    <mergeCell ref="N44:O44"/>
    <mergeCell ref="A43:B43"/>
    <mergeCell ref="C43:E43"/>
    <mergeCell ref="I43:K43"/>
    <mergeCell ref="L43:M43"/>
    <mergeCell ref="N43:O43"/>
    <mergeCell ref="A46:B46"/>
    <mergeCell ref="C46:E46"/>
    <mergeCell ref="I46:K46"/>
    <mergeCell ref="L46:M46"/>
    <mergeCell ref="N46:O46"/>
    <mergeCell ref="A45:B45"/>
    <mergeCell ref="C45:E45"/>
    <mergeCell ref="I45:K45"/>
    <mergeCell ref="L45:M45"/>
    <mergeCell ref="N45:O45"/>
    <mergeCell ref="A34:B34"/>
    <mergeCell ref="C34:E34"/>
    <mergeCell ref="I34:K34"/>
    <mergeCell ref="L34:M34"/>
    <mergeCell ref="N34:O34"/>
    <mergeCell ref="A33:B33"/>
    <mergeCell ref="C33:E33"/>
    <mergeCell ref="I33:K33"/>
    <mergeCell ref="L33:M33"/>
    <mergeCell ref="N33:O33"/>
    <mergeCell ref="A36:B36"/>
    <mergeCell ref="C36:E36"/>
    <mergeCell ref="I36:K36"/>
    <mergeCell ref="L36:M36"/>
    <mergeCell ref="N36:O36"/>
    <mergeCell ref="A35:B35"/>
    <mergeCell ref="C35:E35"/>
    <mergeCell ref="I35:K35"/>
    <mergeCell ref="L35:M35"/>
    <mergeCell ref="N35:O35"/>
    <mergeCell ref="A38:B38"/>
    <mergeCell ref="C38:E38"/>
    <mergeCell ref="I38:K38"/>
    <mergeCell ref="L38:M38"/>
    <mergeCell ref="N38:O38"/>
    <mergeCell ref="A37:B37"/>
    <mergeCell ref="C37:E37"/>
    <mergeCell ref="I37:K37"/>
    <mergeCell ref="L37:M37"/>
    <mergeCell ref="N37:O37"/>
    <mergeCell ref="A32:B32"/>
    <mergeCell ref="C32:E32"/>
    <mergeCell ref="I32:K32"/>
    <mergeCell ref="L32:M32"/>
    <mergeCell ref="N32:O32"/>
    <mergeCell ref="A39:B39"/>
    <mergeCell ref="C39:E39"/>
    <mergeCell ref="I39:K39"/>
    <mergeCell ref="L39:M39"/>
    <mergeCell ref="N39:O39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6:B26"/>
    <mergeCell ref="C26:E26"/>
    <mergeCell ref="I26:K26"/>
    <mergeCell ref="L26:M26"/>
    <mergeCell ref="N26:O26"/>
    <mergeCell ref="A31:B31"/>
    <mergeCell ref="C31:E31"/>
    <mergeCell ref="I31:K31"/>
    <mergeCell ref="L31:M31"/>
    <mergeCell ref="N31:O31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19:B19"/>
    <mergeCell ref="C19:E19"/>
    <mergeCell ref="I19:K19"/>
    <mergeCell ref="L19:M19"/>
    <mergeCell ref="N19:O19"/>
    <mergeCell ref="A21:B21"/>
    <mergeCell ref="C21:E21"/>
    <mergeCell ref="I21:K21"/>
    <mergeCell ref="L21:M21"/>
    <mergeCell ref="N21:O21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4:B14"/>
    <mergeCell ref="C14:E14"/>
    <mergeCell ref="I14:K14"/>
    <mergeCell ref="L14:M14"/>
    <mergeCell ref="N14:O14"/>
    <mergeCell ref="A20:B20"/>
    <mergeCell ref="C20:E20"/>
    <mergeCell ref="I20:K20"/>
    <mergeCell ref="L20:M20"/>
    <mergeCell ref="N20:O20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9:B9"/>
    <mergeCell ref="C9:E9"/>
    <mergeCell ref="I9:K9"/>
    <mergeCell ref="L9:M9"/>
    <mergeCell ref="N9:O9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</mergeCells>
  <phoneticPr fontId="6" type="noConversion"/>
  <pageMargins left="0.7" right="0.7" top="0.75" bottom="0.75" header="0.3" footer="0.3"/>
  <pageSetup paperSize="9" scale="8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유종별 거래명세서</vt:lpstr>
      <vt:lpstr>주유권</vt:lpstr>
      <vt:lpstr>거래명세서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2026-06-03T04:32:25Z</dcterms:created>
  <dcterms:modified xsi:type="dcterms:W3CDTF">2026-06-03T04:55:17Z</dcterms:modified>
  <cp:category/>
</cp:coreProperties>
</file>