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56E52E92-2151-44F3-A17B-6165C9F865F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거래명세서" sheetId="1" r:id="rId1"/>
    <sheet name="1일-15일" sheetId="2" r:id="rId2"/>
    <sheet name="16일-30일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3" i="3" l="1"/>
  <c r="N33" i="3"/>
  <c r="L33" i="3"/>
  <c r="P32" i="2"/>
  <c r="N32" i="2"/>
  <c r="L32" i="2"/>
</calcChain>
</file>

<file path=xl/sharedStrings.xml><?xml version="1.0" encoding="utf-8"?>
<sst xmlns="http://schemas.openxmlformats.org/spreadsheetml/2006/main" count="502" uniqueCount="60">
  <si>
    <t>거 래 명 세 서(공급받는자용)</t>
  </si>
  <si>
    <t>작성일자</t>
  </si>
  <si>
    <t>2026/05/28</t>
  </si>
  <si>
    <t>일련번호</t>
  </si>
  <si>
    <t/>
  </si>
  <si>
    <t>공
급
자</t>
  </si>
  <si>
    <t>등   록
번   호</t>
  </si>
  <si>
    <t>303-81-64391</t>
  </si>
  <si>
    <t>공
급
받
는
자</t>
  </si>
  <si>
    <t>303-81-73677</t>
  </si>
  <si>
    <t>상   호
법인명</t>
  </si>
  <si>
    <t>(주)미소주유소</t>
  </si>
  <si>
    <t>성명</t>
  </si>
  <si>
    <t>신정자</t>
  </si>
  <si>
    <t>신성기업주식회사</t>
  </si>
  <si>
    <t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</si>
  <si>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</si>
  <si>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</si>
  <si>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</si>
  <si>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</si>
  <si>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</si>
  <si>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</si>
  <si>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</si>
  <si>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</si>
  <si>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</si>
  <si>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</si>
  <si>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</si>
  <si>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</si>
  <si>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</si>
  <si>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</si>
  <si>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2026/05/02</t>
  </si>
  <si>
    <t>배달</t>
  </si>
  <si>
    <t>경유</t>
  </si>
  <si>
    <t>L</t>
  </si>
  <si>
    <t>838737</t>
  </si>
  <si>
    <t>935473</t>
  </si>
  <si>
    <t>830137</t>
  </si>
  <si>
    <t>2026/05/04</t>
  </si>
  <si>
    <t>2026/05/05</t>
  </si>
  <si>
    <t>2026/05/06</t>
  </si>
  <si>
    <t>2026/05/07</t>
  </si>
  <si>
    <t>2026/05/08</t>
  </si>
  <si>
    <t>2026/05/09</t>
  </si>
  <si>
    <t>2026/05/12</t>
  </si>
  <si>
    <t>2026/05/13</t>
  </si>
  <si>
    <t>2026/05/14</t>
  </si>
  <si>
    <t>2026/05/15</t>
  </si>
  <si>
    <t>2026/05/16</t>
  </si>
  <si>
    <t>2026/05/18</t>
  </si>
  <si>
    <t>2026/05/19</t>
  </si>
  <si>
    <t>2026/05/20</t>
  </si>
  <si>
    <t>2026/05/22</t>
  </si>
  <si>
    <t>2026/05/23</t>
  </si>
  <si>
    <t>2026/05/24</t>
  </si>
  <si>
    <t>2026/05/25</t>
  </si>
  <si>
    <t>2026/05/26</t>
  </si>
  <si>
    <t>2026/05/27</t>
  </si>
  <si>
    <t>2026/05/29</t>
  </si>
  <si>
    <t>2026/05/30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</si>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</sst>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20"/>
      <name val="맑은 고딕"/>
      <family val="2"/>
      <charset val="129"/>
      <scheme val="minor"/>
    </font>
    <font>
      <sz val="9"/>
      <name val="맑은 고딕"/>
      <family val="2"/>
      <charset val="129"/>
      <scheme val="minor"/>
    </font>
    <font>
      <b/>
      <sz val="14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6"/>
  <sheetViews>
    <sheetView tabSelected="1" topLeftCell="A28" workbookViewId="0">
      <selection activeCell="R41" sqref="R41"/>
    </sheetView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 t="s">
        <v>1</v>
      </c>
      <c r="N1" s="10"/>
      <c r="O1" s="10" t="s">
        <v>2</v>
      </c>
      <c r="P1" s="10"/>
    </row>
    <row r="2" spans="1:16" ht="18" customHeight="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10" t="s">
        <v>3</v>
      </c>
      <c r="N2" s="10"/>
      <c r="O2" s="10" t="s">
        <v>4</v>
      </c>
      <c r="P2" s="10"/>
    </row>
    <row r="3" spans="1:16" ht="27" customHeight="1" x14ac:dyDescent="0.3">
      <c r="A3" s="12" t="s">
        <v>5</v>
      </c>
      <c r="B3" s="2" t="s">
        <v>6</v>
      </c>
      <c r="C3" s="11" t="s">
        <v>7</v>
      </c>
      <c r="D3" s="11"/>
      <c r="E3" s="11"/>
      <c r="F3" s="11"/>
      <c r="G3" s="11"/>
      <c r="H3" s="11"/>
      <c r="I3" s="12" t="s">
        <v>8</v>
      </c>
      <c r="J3" s="2" t="s">
        <v>6</v>
      </c>
      <c r="K3" s="11" t="s">
        <v>9</v>
      </c>
      <c r="L3" s="11"/>
      <c r="M3" s="11"/>
      <c r="N3" s="11"/>
      <c r="O3" s="11"/>
      <c r="P3" s="11"/>
    </row>
    <row r="4" spans="1:16" ht="27" customHeight="1" x14ac:dyDescent="0.3">
      <c r="A4" s="12"/>
      <c r="B4" s="2" t="s">
        <v>10</v>
      </c>
      <c r="C4" s="13" t="s">
        <v>11</v>
      </c>
      <c r="D4" s="13"/>
      <c r="E4" s="13"/>
      <c r="F4" s="13"/>
      <c r="G4" s="1" t="s">
        <v>12</v>
      </c>
      <c r="H4" s="3" t="s">
        <v>13</v>
      </c>
      <c r="I4" s="12"/>
      <c r="J4" s="2" t="s">
        <v>10</v>
      </c>
      <c r="K4" s="13" t="s">
        <v>14</v>
      </c>
      <c r="L4" s="13"/>
      <c r="M4" s="13"/>
      <c r="N4" s="13"/>
      <c r="O4" s="1" t="s">
        <v>12</v>
      </c>
      <c r="P4" s="2" t="s">
        <v>4</v>
      </c>
    </row>
    <row r="5" spans="1:16" ht="27" customHeight="1" x14ac:dyDescent="0.3">
      <c r="A5" s="12"/>
      <c r="B5" s="2" t="s">
        <v>15</v>
      </c>
      <c r="C5" s="13" t="s">
        <v>16</v>
      </c>
      <c r="D5" s="13"/>
      <c r="E5" s="13"/>
      <c r="F5" s="13"/>
      <c r="G5" s="13"/>
      <c r="H5" s="13"/>
      <c r="I5" s="12"/>
      <c r="J5" s="2" t="s">
        <v>15</v>
      </c>
      <c r="K5" s="13" t="s">
        <v>4</v>
      </c>
      <c r="L5" s="13"/>
      <c r="M5" s="13"/>
      <c r="N5" s="13"/>
      <c r="O5" s="13"/>
      <c r="P5" s="13"/>
    </row>
    <row r="6" spans="1:16" ht="27" customHeight="1" x14ac:dyDescent="0.3">
      <c r="A6" s="12"/>
      <c r="B6" s="1" t="s">
        <v>17</v>
      </c>
      <c r="C6" s="13" t="s">
        <v>18</v>
      </c>
      <c r="D6" s="13"/>
      <c r="E6" s="13"/>
      <c r="F6" s="1" t="s">
        <v>19</v>
      </c>
      <c r="G6" s="13" t="s">
        <v>20</v>
      </c>
      <c r="H6" s="13"/>
      <c r="I6" s="12"/>
      <c r="J6" s="1" t="s">
        <v>17</v>
      </c>
      <c r="K6" s="10" t="s">
        <v>4</v>
      </c>
      <c r="L6" s="10"/>
      <c r="M6" s="10"/>
      <c r="N6" s="1" t="s">
        <v>19</v>
      </c>
      <c r="O6" s="10" t="s">
        <v>4</v>
      </c>
      <c r="P6" s="10"/>
    </row>
    <row r="7" spans="1:16" ht="6.95" customHeight="1" x14ac:dyDescent="0.3"/>
    <row r="8" spans="1:16" x14ac:dyDescent="0.3">
      <c r="A8" s="14" t="s">
        <v>21</v>
      </c>
      <c r="B8" s="14"/>
      <c r="C8" s="14" t="s">
        <v>22</v>
      </c>
      <c r="D8" s="14"/>
      <c r="E8" s="14"/>
      <c r="F8" s="4" t="s">
        <v>23</v>
      </c>
      <c r="G8" s="4" t="s">
        <v>24</v>
      </c>
      <c r="H8" s="4" t="s">
        <v>25</v>
      </c>
      <c r="I8" s="14" t="s">
        <v>26</v>
      </c>
      <c r="J8" s="14"/>
      <c r="K8" s="14"/>
      <c r="L8" s="14" t="s">
        <v>27</v>
      </c>
      <c r="M8" s="14"/>
      <c r="N8" s="14" t="s">
        <v>28</v>
      </c>
      <c r="O8" s="14"/>
      <c r="P8" s="4" t="s">
        <v>29</v>
      </c>
    </row>
    <row r="9" spans="1:16" x14ac:dyDescent="0.3">
      <c r="A9" s="14" t="s">
        <v>30</v>
      </c>
      <c r="B9" s="14"/>
      <c r="C9" s="14" t="s">
        <v>31</v>
      </c>
      <c r="D9" s="14"/>
      <c r="E9" s="14"/>
      <c r="F9" s="4" t="s">
        <v>32</v>
      </c>
      <c r="G9" s="4" t="s">
        <v>33</v>
      </c>
      <c r="H9" s="5">
        <v>96</v>
      </c>
      <c r="I9" s="15">
        <v>1974</v>
      </c>
      <c r="J9" s="15"/>
      <c r="K9" s="15"/>
      <c r="L9" s="15">
        <v>172276</v>
      </c>
      <c r="M9" s="15"/>
      <c r="N9" s="15">
        <v>17228</v>
      </c>
      <c r="O9" s="15"/>
      <c r="P9" s="6">
        <v>189504</v>
      </c>
    </row>
    <row r="10" spans="1:16" x14ac:dyDescent="0.3">
      <c r="A10" s="14" t="s">
        <v>30</v>
      </c>
      <c r="B10" s="14"/>
      <c r="C10" s="14" t="s">
        <v>34</v>
      </c>
      <c r="D10" s="14"/>
      <c r="E10" s="14"/>
      <c r="F10" s="4" t="s">
        <v>32</v>
      </c>
      <c r="G10" s="4" t="s">
        <v>33</v>
      </c>
      <c r="H10" s="5">
        <v>260</v>
      </c>
      <c r="I10" s="15">
        <v>1974</v>
      </c>
      <c r="J10" s="15"/>
      <c r="K10" s="15"/>
      <c r="L10" s="15">
        <v>466582</v>
      </c>
      <c r="M10" s="15"/>
      <c r="N10" s="15">
        <v>46658</v>
      </c>
      <c r="O10" s="15"/>
      <c r="P10" s="6">
        <v>513240</v>
      </c>
    </row>
    <row r="11" spans="1:16" x14ac:dyDescent="0.3">
      <c r="A11" s="14" t="s">
        <v>30</v>
      </c>
      <c r="B11" s="14"/>
      <c r="C11" s="14" t="s">
        <v>35</v>
      </c>
      <c r="D11" s="14"/>
      <c r="E11" s="14"/>
      <c r="F11" s="4" t="s">
        <v>32</v>
      </c>
      <c r="G11" s="4" t="s">
        <v>33</v>
      </c>
      <c r="H11" s="5">
        <v>110</v>
      </c>
      <c r="I11" s="15">
        <v>1974</v>
      </c>
      <c r="J11" s="15"/>
      <c r="K11" s="15"/>
      <c r="L11" s="15">
        <v>197400</v>
      </c>
      <c r="M11" s="15"/>
      <c r="N11" s="15">
        <v>19740</v>
      </c>
      <c r="O11" s="15"/>
      <c r="P11" s="6">
        <v>217140</v>
      </c>
    </row>
    <row r="12" spans="1:16" x14ac:dyDescent="0.3">
      <c r="A12" s="14" t="s">
        <v>30</v>
      </c>
      <c r="B12" s="14"/>
      <c r="C12" s="14" t="s">
        <v>36</v>
      </c>
      <c r="D12" s="14"/>
      <c r="E12" s="14"/>
      <c r="F12" s="4" t="s">
        <v>32</v>
      </c>
      <c r="G12" s="4" t="s">
        <v>33</v>
      </c>
      <c r="H12" s="5">
        <v>120</v>
      </c>
      <c r="I12" s="15">
        <v>1974</v>
      </c>
      <c r="J12" s="15"/>
      <c r="K12" s="15"/>
      <c r="L12" s="15">
        <v>215345</v>
      </c>
      <c r="M12" s="15"/>
      <c r="N12" s="15">
        <v>21535</v>
      </c>
      <c r="O12" s="15"/>
      <c r="P12" s="6">
        <v>236880</v>
      </c>
    </row>
    <row r="13" spans="1:16" x14ac:dyDescent="0.3">
      <c r="A13" s="14" t="s">
        <v>37</v>
      </c>
      <c r="B13" s="14"/>
      <c r="C13" s="14" t="s">
        <v>36</v>
      </c>
      <c r="D13" s="14"/>
      <c r="E13" s="14"/>
      <c r="F13" s="4" t="s">
        <v>32</v>
      </c>
      <c r="G13" s="4" t="s">
        <v>33</v>
      </c>
      <c r="H13" s="5">
        <v>121</v>
      </c>
      <c r="I13" s="15">
        <v>1974</v>
      </c>
      <c r="J13" s="15"/>
      <c r="K13" s="15"/>
      <c r="L13" s="15">
        <v>217140</v>
      </c>
      <c r="M13" s="15"/>
      <c r="N13" s="15">
        <v>21714</v>
      </c>
      <c r="O13" s="15"/>
      <c r="P13" s="6">
        <v>238854</v>
      </c>
    </row>
    <row r="14" spans="1:16" x14ac:dyDescent="0.3">
      <c r="A14" s="14" t="s">
        <v>37</v>
      </c>
      <c r="B14" s="14"/>
      <c r="C14" s="14" t="s">
        <v>35</v>
      </c>
      <c r="D14" s="14"/>
      <c r="E14" s="14"/>
      <c r="F14" s="4" t="s">
        <v>32</v>
      </c>
      <c r="G14" s="4" t="s">
        <v>33</v>
      </c>
      <c r="H14" s="5">
        <v>149</v>
      </c>
      <c r="I14" s="15">
        <v>1974</v>
      </c>
      <c r="J14" s="15"/>
      <c r="K14" s="15"/>
      <c r="L14" s="15">
        <v>267387</v>
      </c>
      <c r="M14" s="15"/>
      <c r="N14" s="15">
        <v>26739</v>
      </c>
      <c r="O14" s="15"/>
      <c r="P14" s="6">
        <v>294126</v>
      </c>
    </row>
    <row r="15" spans="1:16" x14ac:dyDescent="0.3">
      <c r="A15" s="14" t="s">
        <v>38</v>
      </c>
      <c r="B15" s="14"/>
      <c r="C15" s="14" t="s">
        <v>36</v>
      </c>
      <c r="D15" s="14"/>
      <c r="E15" s="14"/>
      <c r="F15" s="4" t="s">
        <v>32</v>
      </c>
      <c r="G15" s="4" t="s">
        <v>33</v>
      </c>
      <c r="H15" s="5">
        <v>115</v>
      </c>
      <c r="I15" s="15">
        <v>1974</v>
      </c>
      <c r="J15" s="15"/>
      <c r="K15" s="15"/>
      <c r="L15" s="15">
        <v>206373</v>
      </c>
      <c r="M15" s="15"/>
      <c r="N15" s="15">
        <v>20637</v>
      </c>
      <c r="O15" s="15"/>
      <c r="P15" s="6">
        <v>227010</v>
      </c>
    </row>
    <row r="16" spans="1:16" x14ac:dyDescent="0.3">
      <c r="A16" s="14" t="s">
        <v>39</v>
      </c>
      <c r="B16" s="14"/>
      <c r="C16" s="14" t="s">
        <v>35</v>
      </c>
      <c r="D16" s="14"/>
      <c r="E16" s="14"/>
      <c r="F16" s="4" t="s">
        <v>32</v>
      </c>
      <c r="G16" s="4" t="s">
        <v>33</v>
      </c>
      <c r="H16" s="5">
        <v>156</v>
      </c>
      <c r="I16" s="15">
        <v>1974</v>
      </c>
      <c r="J16" s="15"/>
      <c r="K16" s="15"/>
      <c r="L16" s="15">
        <v>279949</v>
      </c>
      <c r="M16" s="15"/>
      <c r="N16" s="15">
        <v>27995</v>
      </c>
      <c r="O16" s="15"/>
      <c r="P16" s="6">
        <v>307944</v>
      </c>
    </row>
    <row r="17" spans="1:16" x14ac:dyDescent="0.3">
      <c r="A17" s="14" t="s">
        <v>39</v>
      </c>
      <c r="B17" s="14"/>
      <c r="C17" s="14" t="s">
        <v>34</v>
      </c>
      <c r="D17" s="14"/>
      <c r="E17" s="14"/>
      <c r="F17" s="4" t="s">
        <v>32</v>
      </c>
      <c r="G17" s="4" t="s">
        <v>33</v>
      </c>
      <c r="H17" s="5">
        <v>245</v>
      </c>
      <c r="I17" s="15">
        <v>1974</v>
      </c>
      <c r="J17" s="15"/>
      <c r="K17" s="15"/>
      <c r="L17" s="15">
        <v>439664</v>
      </c>
      <c r="M17" s="15"/>
      <c r="N17" s="15">
        <v>43966</v>
      </c>
      <c r="O17" s="15"/>
      <c r="P17" s="6">
        <v>483630</v>
      </c>
    </row>
    <row r="18" spans="1:16" x14ac:dyDescent="0.3">
      <c r="A18" s="14" t="s">
        <v>40</v>
      </c>
      <c r="B18" s="14"/>
      <c r="C18" s="14" t="s">
        <v>31</v>
      </c>
      <c r="D18" s="14"/>
      <c r="E18" s="14"/>
      <c r="F18" s="4" t="s">
        <v>32</v>
      </c>
      <c r="G18" s="4" t="s">
        <v>33</v>
      </c>
      <c r="H18" s="5">
        <v>94</v>
      </c>
      <c r="I18" s="15">
        <v>1974</v>
      </c>
      <c r="J18" s="15"/>
      <c r="K18" s="15"/>
      <c r="L18" s="15">
        <v>168687</v>
      </c>
      <c r="M18" s="15"/>
      <c r="N18" s="15">
        <v>16869</v>
      </c>
      <c r="O18" s="15"/>
      <c r="P18" s="6">
        <v>185556</v>
      </c>
    </row>
    <row r="19" spans="1:16" x14ac:dyDescent="0.3">
      <c r="A19" s="14" t="s">
        <v>40</v>
      </c>
      <c r="B19" s="14"/>
      <c r="C19" s="14" t="s">
        <v>36</v>
      </c>
      <c r="D19" s="14"/>
      <c r="E19" s="14"/>
      <c r="F19" s="4" t="s">
        <v>32</v>
      </c>
      <c r="G19" s="4" t="s">
        <v>33</v>
      </c>
      <c r="H19" s="5">
        <v>120</v>
      </c>
      <c r="I19" s="15">
        <v>1974</v>
      </c>
      <c r="J19" s="15"/>
      <c r="K19" s="15"/>
      <c r="L19" s="15">
        <v>215345</v>
      </c>
      <c r="M19" s="15"/>
      <c r="N19" s="15">
        <v>21535</v>
      </c>
      <c r="O19" s="15"/>
      <c r="P19" s="6">
        <v>236880</v>
      </c>
    </row>
    <row r="20" spans="1:16" x14ac:dyDescent="0.3">
      <c r="A20" s="14" t="s">
        <v>41</v>
      </c>
      <c r="B20" s="14"/>
      <c r="C20" s="14" t="s">
        <v>36</v>
      </c>
      <c r="D20" s="14"/>
      <c r="E20" s="14"/>
      <c r="F20" s="4" t="s">
        <v>32</v>
      </c>
      <c r="G20" s="4" t="s">
        <v>33</v>
      </c>
      <c r="H20" s="5">
        <v>107</v>
      </c>
      <c r="I20" s="15">
        <v>1974</v>
      </c>
      <c r="J20" s="15"/>
      <c r="K20" s="15"/>
      <c r="L20" s="15">
        <v>192016</v>
      </c>
      <c r="M20" s="15"/>
      <c r="N20" s="15">
        <v>19202</v>
      </c>
      <c r="O20" s="15"/>
      <c r="P20" s="6">
        <v>211218</v>
      </c>
    </row>
    <row r="21" spans="1:16" x14ac:dyDescent="0.3">
      <c r="A21" s="14" t="s">
        <v>42</v>
      </c>
      <c r="B21" s="14"/>
      <c r="C21" s="14" t="s">
        <v>35</v>
      </c>
      <c r="D21" s="14"/>
      <c r="E21" s="14"/>
      <c r="F21" s="4" t="s">
        <v>32</v>
      </c>
      <c r="G21" s="4" t="s">
        <v>33</v>
      </c>
      <c r="H21" s="5">
        <v>170</v>
      </c>
      <c r="I21" s="15">
        <v>1979</v>
      </c>
      <c r="J21" s="15"/>
      <c r="K21" s="15"/>
      <c r="L21" s="15">
        <v>305845</v>
      </c>
      <c r="M21" s="15"/>
      <c r="N21" s="15">
        <v>30585</v>
      </c>
      <c r="O21" s="15"/>
      <c r="P21" s="6">
        <v>336430</v>
      </c>
    </row>
    <row r="22" spans="1:16" x14ac:dyDescent="0.3">
      <c r="A22" s="14" t="s">
        <v>42</v>
      </c>
      <c r="B22" s="14"/>
      <c r="C22" s="14" t="s">
        <v>36</v>
      </c>
      <c r="D22" s="14"/>
      <c r="E22" s="14"/>
      <c r="F22" s="4" t="s">
        <v>32</v>
      </c>
      <c r="G22" s="4" t="s">
        <v>33</v>
      </c>
      <c r="H22" s="5">
        <v>122</v>
      </c>
      <c r="I22" s="15">
        <v>1979</v>
      </c>
      <c r="J22" s="15"/>
      <c r="K22" s="15"/>
      <c r="L22" s="15">
        <v>219489</v>
      </c>
      <c r="M22" s="15"/>
      <c r="N22" s="15">
        <v>21949</v>
      </c>
      <c r="O22" s="15"/>
      <c r="P22" s="6">
        <v>241438</v>
      </c>
    </row>
    <row r="23" spans="1:16" x14ac:dyDescent="0.3">
      <c r="A23" s="14" t="s">
        <v>43</v>
      </c>
      <c r="B23" s="14"/>
      <c r="C23" s="14" t="s">
        <v>31</v>
      </c>
      <c r="D23" s="14"/>
      <c r="E23" s="14"/>
      <c r="F23" s="4" t="s">
        <v>32</v>
      </c>
      <c r="G23" s="4" t="s">
        <v>33</v>
      </c>
      <c r="H23" s="5">
        <v>102</v>
      </c>
      <c r="I23" s="15">
        <v>1979</v>
      </c>
      <c r="J23" s="15"/>
      <c r="K23" s="15"/>
      <c r="L23" s="15">
        <v>183507</v>
      </c>
      <c r="M23" s="15"/>
      <c r="N23" s="15">
        <v>18351</v>
      </c>
      <c r="O23" s="15"/>
      <c r="P23" s="6">
        <v>201858</v>
      </c>
    </row>
    <row r="24" spans="1:16" x14ac:dyDescent="0.3">
      <c r="A24" s="14" t="s">
        <v>43</v>
      </c>
      <c r="B24" s="14"/>
      <c r="C24" s="14" t="s">
        <v>34</v>
      </c>
      <c r="D24" s="14"/>
      <c r="E24" s="14"/>
      <c r="F24" s="4" t="s">
        <v>32</v>
      </c>
      <c r="G24" s="4" t="s">
        <v>33</v>
      </c>
      <c r="H24" s="5">
        <v>220</v>
      </c>
      <c r="I24" s="15">
        <v>1979</v>
      </c>
      <c r="J24" s="15"/>
      <c r="K24" s="15"/>
      <c r="L24" s="15">
        <v>395800</v>
      </c>
      <c r="M24" s="15"/>
      <c r="N24" s="15">
        <v>39580</v>
      </c>
      <c r="O24" s="15"/>
      <c r="P24" s="6">
        <v>435380</v>
      </c>
    </row>
    <row r="25" spans="1:16" x14ac:dyDescent="0.3">
      <c r="A25" s="14" t="s">
        <v>43</v>
      </c>
      <c r="B25" s="14"/>
      <c r="C25" s="14" t="s">
        <v>36</v>
      </c>
      <c r="D25" s="14"/>
      <c r="E25" s="14"/>
      <c r="F25" s="4" t="s">
        <v>32</v>
      </c>
      <c r="G25" s="4" t="s">
        <v>33</v>
      </c>
      <c r="H25" s="5">
        <v>93</v>
      </c>
      <c r="I25" s="15">
        <v>1979</v>
      </c>
      <c r="J25" s="15"/>
      <c r="K25" s="15"/>
      <c r="L25" s="15">
        <v>167315</v>
      </c>
      <c r="M25" s="15"/>
      <c r="N25" s="15">
        <v>16732</v>
      </c>
      <c r="O25" s="15"/>
      <c r="P25" s="6">
        <v>184047</v>
      </c>
    </row>
    <row r="26" spans="1:16" x14ac:dyDescent="0.3">
      <c r="A26" s="14" t="s">
        <v>43</v>
      </c>
      <c r="B26" s="14"/>
      <c r="C26" s="14" t="s">
        <v>35</v>
      </c>
      <c r="D26" s="14"/>
      <c r="E26" s="14"/>
      <c r="F26" s="4" t="s">
        <v>32</v>
      </c>
      <c r="G26" s="4" t="s">
        <v>33</v>
      </c>
      <c r="H26" s="5">
        <v>157</v>
      </c>
      <c r="I26" s="15">
        <v>1979</v>
      </c>
      <c r="J26" s="15"/>
      <c r="K26" s="15"/>
      <c r="L26" s="15">
        <v>282457</v>
      </c>
      <c r="M26" s="15"/>
      <c r="N26" s="15">
        <v>28246</v>
      </c>
      <c r="O26" s="15"/>
      <c r="P26" s="6">
        <v>310703</v>
      </c>
    </row>
    <row r="27" spans="1:16" x14ac:dyDescent="0.3">
      <c r="A27" s="14" t="s">
        <v>44</v>
      </c>
      <c r="B27" s="14"/>
      <c r="C27" s="14" t="s">
        <v>36</v>
      </c>
      <c r="D27" s="14"/>
      <c r="E27" s="14"/>
      <c r="F27" s="4" t="s">
        <v>32</v>
      </c>
      <c r="G27" s="4" t="s">
        <v>33</v>
      </c>
      <c r="H27" s="5">
        <v>124</v>
      </c>
      <c r="I27" s="15">
        <v>1979</v>
      </c>
      <c r="J27" s="15"/>
      <c r="K27" s="15"/>
      <c r="L27" s="15">
        <v>223087</v>
      </c>
      <c r="M27" s="15"/>
      <c r="N27" s="15">
        <v>22309</v>
      </c>
      <c r="O27" s="15"/>
      <c r="P27" s="6">
        <v>245396</v>
      </c>
    </row>
    <row r="28" spans="1:16" x14ac:dyDescent="0.3">
      <c r="A28" s="14" t="s">
        <v>45</v>
      </c>
      <c r="B28" s="14"/>
      <c r="C28" s="14" t="s">
        <v>35</v>
      </c>
      <c r="D28" s="14"/>
      <c r="E28" s="14"/>
      <c r="F28" s="4" t="s">
        <v>32</v>
      </c>
      <c r="G28" s="4" t="s">
        <v>33</v>
      </c>
      <c r="H28" s="5">
        <v>147</v>
      </c>
      <c r="I28" s="15">
        <v>1979</v>
      </c>
      <c r="J28" s="15"/>
      <c r="K28" s="15"/>
      <c r="L28" s="15">
        <v>264466</v>
      </c>
      <c r="M28" s="15"/>
      <c r="N28" s="15">
        <v>26447</v>
      </c>
      <c r="O28" s="15"/>
      <c r="P28" s="6">
        <v>290913</v>
      </c>
    </row>
    <row r="29" spans="1:16" x14ac:dyDescent="0.3">
      <c r="A29" s="14" t="s">
        <v>45</v>
      </c>
      <c r="B29" s="14"/>
      <c r="C29" s="14" t="s">
        <v>36</v>
      </c>
      <c r="D29" s="14"/>
      <c r="E29" s="14"/>
      <c r="F29" s="4" t="s">
        <v>32</v>
      </c>
      <c r="G29" s="4" t="s">
        <v>33</v>
      </c>
      <c r="H29" s="5">
        <v>100</v>
      </c>
      <c r="I29" s="15">
        <v>1979</v>
      </c>
      <c r="J29" s="15"/>
      <c r="K29" s="15"/>
      <c r="L29" s="15">
        <v>179909</v>
      </c>
      <c r="M29" s="15"/>
      <c r="N29" s="15">
        <v>17991</v>
      </c>
      <c r="O29" s="15"/>
      <c r="P29" s="6">
        <v>197900</v>
      </c>
    </row>
    <row r="30" spans="1:16" x14ac:dyDescent="0.3">
      <c r="A30" s="14" t="s">
        <v>46</v>
      </c>
      <c r="B30" s="14"/>
      <c r="C30" s="14" t="s">
        <v>34</v>
      </c>
      <c r="D30" s="14"/>
      <c r="E30" s="14"/>
      <c r="F30" s="4" t="s">
        <v>32</v>
      </c>
      <c r="G30" s="4" t="s">
        <v>33</v>
      </c>
      <c r="H30" s="5">
        <v>270</v>
      </c>
      <c r="I30" s="15">
        <v>1979</v>
      </c>
      <c r="J30" s="15"/>
      <c r="K30" s="15"/>
      <c r="L30" s="15">
        <v>485755</v>
      </c>
      <c r="M30" s="15"/>
      <c r="N30" s="15">
        <v>48575</v>
      </c>
      <c r="O30" s="15"/>
      <c r="P30" s="6">
        <v>534330</v>
      </c>
    </row>
    <row r="31" spans="1:16" x14ac:dyDescent="0.3">
      <c r="A31" s="14" t="s">
        <v>46</v>
      </c>
      <c r="B31" s="14"/>
      <c r="C31" s="14" t="s">
        <v>36</v>
      </c>
      <c r="D31" s="14"/>
      <c r="E31" s="14"/>
      <c r="F31" s="4" t="s">
        <v>32</v>
      </c>
      <c r="G31" s="4" t="s">
        <v>33</v>
      </c>
      <c r="H31" s="5">
        <v>110</v>
      </c>
      <c r="I31" s="15">
        <v>1979</v>
      </c>
      <c r="J31" s="15"/>
      <c r="K31" s="15"/>
      <c r="L31" s="15">
        <v>197900</v>
      </c>
      <c r="M31" s="15"/>
      <c r="N31" s="15">
        <v>19790</v>
      </c>
      <c r="O31" s="15"/>
      <c r="P31" s="6">
        <v>217690</v>
      </c>
    </row>
    <row r="32" spans="1:16" x14ac:dyDescent="0.3">
      <c r="A32" s="14" t="s">
        <v>47</v>
      </c>
      <c r="B32" s="14"/>
      <c r="C32" s="14" t="s">
        <v>31</v>
      </c>
      <c r="D32" s="14"/>
      <c r="E32" s="14"/>
      <c r="F32" s="4" t="s">
        <v>32</v>
      </c>
      <c r="G32" s="4" t="s">
        <v>33</v>
      </c>
      <c r="H32" s="5">
        <v>86</v>
      </c>
      <c r="I32" s="15">
        <v>1979</v>
      </c>
      <c r="J32" s="15"/>
      <c r="K32" s="15"/>
      <c r="L32" s="15">
        <v>154722</v>
      </c>
      <c r="M32" s="15"/>
      <c r="N32" s="15">
        <v>15472</v>
      </c>
      <c r="O32" s="15"/>
      <c r="P32" s="6">
        <v>170194</v>
      </c>
    </row>
    <row r="33" spans="1:16" x14ac:dyDescent="0.3">
      <c r="A33" s="14" t="s">
        <v>48</v>
      </c>
      <c r="B33" s="14"/>
      <c r="C33" s="14" t="s">
        <v>36</v>
      </c>
      <c r="D33" s="14"/>
      <c r="E33" s="14"/>
      <c r="F33" s="4" t="s">
        <v>32</v>
      </c>
      <c r="G33" s="4" t="s">
        <v>33</v>
      </c>
      <c r="H33" s="5">
        <v>101</v>
      </c>
      <c r="I33" s="15">
        <v>1979</v>
      </c>
      <c r="J33" s="15"/>
      <c r="K33" s="15"/>
      <c r="L33" s="15">
        <v>181708</v>
      </c>
      <c r="M33" s="15"/>
      <c r="N33" s="15">
        <v>18171</v>
      </c>
      <c r="O33" s="15"/>
      <c r="P33" s="6">
        <v>199879</v>
      </c>
    </row>
    <row r="34" spans="1:16" x14ac:dyDescent="0.3">
      <c r="A34" s="14" t="s">
        <v>48</v>
      </c>
      <c r="B34" s="14"/>
      <c r="C34" s="14" t="s">
        <v>35</v>
      </c>
      <c r="D34" s="14"/>
      <c r="E34" s="14"/>
      <c r="F34" s="4" t="s">
        <v>32</v>
      </c>
      <c r="G34" s="4" t="s">
        <v>33</v>
      </c>
      <c r="H34" s="5">
        <v>173</v>
      </c>
      <c r="I34" s="15">
        <v>1979</v>
      </c>
      <c r="J34" s="15"/>
      <c r="K34" s="15"/>
      <c r="L34" s="15">
        <v>311243</v>
      </c>
      <c r="M34" s="15"/>
      <c r="N34" s="15">
        <v>31124</v>
      </c>
      <c r="O34" s="15"/>
      <c r="P34" s="6">
        <v>342367</v>
      </c>
    </row>
    <row r="35" spans="1:16" x14ac:dyDescent="0.3">
      <c r="A35" s="14" t="s">
        <v>49</v>
      </c>
      <c r="B35" s="14"/>
      <c r="C35" s="14" t="s">
        <v>36</v>
      </c>
      <c r="D35" s="14"/>
      <c r="E35" s="14"/>
      <c r="F35" s="4" t="s">
        <v>32</v>
      </c>
      <c r="G35" s="4" t="s">
        <v>33</v>
      </c>
      <c r="H35" s="5">
        <v>128</v>
      </c>
      <c r="I35" s="15">
        <v>1979</v>
      </c>
      <c r="J35" s="15"/>
      <c r="K35" s="15"/>
      <c r="L35" s="15">
        <v>230284</v>
      </c>
      <c r="M35" s="15"/>
      <c r="N35" s="15">
        <v>23028</v>
      </c>
      <c r="O35" s="15"/>
      <c r="P35" s="6">
        <v>253312</v>
      </c>
    </row>
    <row r="36" spans="1:16" x14ac:dyDescent="0.3">
      <c r="A36" s="14" t="s">
        <v>49</v>
      </c>
      <c r="B36" s="14"/>
      <c r="C36" s="14" t="s">
        <v>34</v>
      </c>
      <c r="D36" s="14"/>
      <c r="E36" s="14"/>
      <c r="F36" s="4" t="s">
        <v>32</v>
      </c>
      <c r="G36" s="4" t="s">
        <v>33</v>
      </c>
      <c r="H36" s="5">
        <v>228</v>
      </c>
      <c r="I36" s="15">
        <v>1979</v>
      </c>
      <c r="J36" s="15"/>
      <c r="K36" s="15"/>
      <c r="L36" s="15">
        <v>410193</v>
      </c>
      <c r="M36" s="15"/>
      <c r="N36" s="15">
        <v>41019</v>
      </c>
      <c r="O36" s="15"/>
      <c r="P36" s="6">
        <v>451212</v>
      </c>
    </row>
    <row r="37" spans="1:16" x14ac:dyDescent="0.3">
      <c r="A37" s="14" t="s">
        <v>50</v>
      </c>
      <c r="B37" s="14"/>
      <c r="C37" s="14" t="s">
        <v>31</v>
      </c>
      <c r="D37" s="14"/>
      <c r="E37" s="14"/>
      <c r="F37" s="4" t="s">
        <v>32</v>
      </c>
      <c r="G37" s="4" t="s">
        <v>33</v>
      </c>
      <c r="H37" s="5">
        <v>159</v>
      </c>
      <c r="I37" s="15">
        <v>1979</v>
      </c>
      <c r="J37" s="15"/>
      <c r="K37" s="15"/>
      <c r="L37" s="15">
        <v>286055</v>
      </c>
      <c r="M37" s="15"/>
      <c r="N37" s="15">
        <v>28606</v>
      </c>
      <c r="O37" s="15"/>
      <c r="P37" s="6">
        <v>314661</v>
      </c>
    </row>
    <row r="38" spans="1:16" x14ac:dyDescent="0.3">
      <c r="A38" s="14" t="s">
        <v>50</v>
      </c>
      <c r="B38" s="14"/>
      <c r="C38" s="14" t="s">
        <v>31</v>
      </c>
      <c r="D38" s="14"/>
      <c r="E38" s="14"/>
      <c r="F38" s="4" t="s">
        <v>32</v>
      </c>
      <c r="G38" s="4" t="s">
        <v>33</v>
      </c>
      <c r="H38" s="5">
        <v>82</v>
      </c>
      <c r="I38" s="15">
        <v>1979</v>
      </c>
      <c r="J38" s="15"/>
      <c r="K38" s="15"/>
      <c r="L38" s="15">
        <v>147525</v>
      </c>
      <c r="M38" s="15"/>
      <c r="N38" s="15">
        <v>14753</v>
      </c>
      <c r="O38" s="15"/>
      <c r="P38" s="6">
        <v>162278</v>
      </c>
    </row>
    <row r="39" spans="1:16" x14ac:dyDescent="0.3">
      <c r="A39" s="14" t="s">
        <v>50</v>
      </c>
      <c r="B39" s="14"/>
      <c r="C39" s="14" t="s">
        <v>36</v>
      </c>
      <c r="D39" s="14"/>
      <c r="E39" s="14"/>
      <c r="F39" s="4" t="s">
        <v>32</v>
      </c>
      <c r="G39" s="4" t="s">
        <v>33</v>
      </c>
      <c r="H39" s="5">
        <v>150</v>
      </c>
      <c r="I39" s="15">
        <v>1979</v>
      </c>
      <c r="J39" s="15"/>
      <c r="K39" s="15"/>
      <c r="L39" s="15">
        <v>269864</v>
      </c>
      <c r="M39" s="15"/>
      <c r="N39" s="15">
        <v>26986</v>
      </c>
      <c r="O39" s="15"/>
      <c r="P39" s="6">
        <v>296850</v>
      </c>
    </row>
    <row r="40" spans="1:16" x14ac:dyDescent="0.3">
      <c r="A40" s="14" t="s">
        <v>51</v>
      </c>
      <c r="B40" s="14"/>
      <c r="C40" s="14" t="s">
        <v>36</v>
      </c>
      <c r="D40" s="14"/>
      <c r="E40" s="14"/>
      <c r="F40" s="4" t="s">
        <v>32</v>
      </c>
      <c r="G40" s="4" t="s">
        <v>33</v>
      </c>
      <c r="H40" s="5">
        <v>125</v>
      </c>
      <c r="I40" s="15">
        <v>1979</v>
      </c>
      <c r="J40" s="15"/>
      <c r="K40" s="15"/>
      <c r="L40" s="15">
        <v>224886</v>
      </c>
      <c r="M40" s="15"/>
      <c r="N40" s="15">
        <v>22489</v>
      </c>
      <c r="O40" s="15"/>
      <c r="P40" s="6">
        <v>247375</v>
      </c>
    </row>
    <row r="41" spans="1:16" x14ac:dyDescent="0.3">
      <c r="A41" s="14" t="s">
        <v>51</v>
      </c>
      <c r="B41" s="14"/>
      <c r="C41" s="14" t="s">
        <v>34</v>
      </c>
      <c r="D41" s="14"/>
      <c r="E41" s="14"/>
      <c r="F41" s="4" t="s">
        <v>32</v>
      </c>
      <c r="G41" s="4" t="s">
        <v>33</v>
      </c>
      <c r="H41" s="5">
        <v>252</v>
      </c>
      <c r="I41" s="15">
        <v>1979</v>
      </c>
      <c r="J41" s="15"/>
      <c r="K41" s="15"/>
      <c r="L41" s="15">
        <v>453371</v>
      </c>
      <c r="M41" s="15"/>
      <c r="N41" s="15">
        <v>45337</v>
      </c>
      <c r="O41" s="15"/>
      <c r="P41" s="6">
        <v>498708</v>
      </c>
    </row>
    <row r="42" spans="1:16" x14ac:dyDescent="0.3">
      <c r="A42" s="14" t="s">
        <v>52</v>
      </c>
      <c r="B42" s="14"/>
      <c r="C42" s="14" t="s">
        <v>31</v>
      </c>
      <c r="D42" s="14"/>
      <c r="E42" s="14"/>
      <c r="F42" s="4" t="s">
        <v>32</v>
      </c>
      <c r="G42" s="4" t="s">
        <v>33</v>
      </c>
      <c r="H42" s="5">
        <v>85</v>
      </c>
      <c r="I42" s="15">
        <v>1979</v>
      </c>
      <c r="J42" s="15"/>
      <c r="K42" s="15"/>
      <c r="L42" s="15">
        <v>152923</v>
      </c>
      <c r="M42" s="15"/>
      <c r="N42" s="15">
        <v>15292</v>
      </c>
      <c r="O42" s="15"/>
      <c r="P42" s="6">
        <v>168215</v>
      </c>
    </row>
    <row r="43" spans="1:16" x14ac:dyDescent="0.3">
      <c r="A43" s="14" t="s">
        <v>53</v>
      </c>
      <c r="B43" s="14"/>
      <c r="C43" s="14" t="s">
        <v>36</v>
      </c>
      <c r="D43" s="14"/>
      <c r="E43" s="14"/>
      <c r="F43" s="4" t="s">
        <v>32</v>
      </c>
      <c r="G43" s="4" t="s">
        <v>33</v>
      </c>
      <c r="H43" s="5">
        <v>119</v>
      </c>
      <c r="I43" s="15">
        <v>1979</v>
      </c>
      <c r="J43" s="15"/>
      <c r="K43" s="15"/>
      <c r="L43" s="15">
        <v>214092</v>
      </c>
      <c r="M43" s="15"/>
      <c r="N43" s="15">
        <v>21409</v>
      </c>
      <c r="O43" s="15"/>
      <c r="P43" s="6">
        <v>235501</v>
      </c>
    </row>
    <row r="44" spans="1:16" x14ac:dyDescent="0.3">
      <c r="A44" s="14" t="s">
        <v>54</v>
      </c>
      <c r="B44" s="14"/>
      <c r="C44" s="14" t="s">
        <v>35</v>
      </c>
      <c r="D44" s="14"/>
      <c r="E44" s="14"/>
      <c r="F44" s="4" t="s">
        <v>32</v>
      </c>
      <c r="G44" s="4" t="s">
        <v>33</v>
      </c>
      <c r="H44" s="5">
        <v>139</v>
      </c>
      <c r="I44" s="15">
        <v>1979</v>
      </c>
      <c r="J44" s="15"/>
      <c r="K44" s="15"/>
      <c r="L44" s="15">
        <v>250074</v>
      </c>
      <c r="M44" s="15"/>
      <c r="N44" s="15">
        <v>25007</v>
      </c>
      <c r="O44" s="15"/>
      <c r="P44" s="6">
        <v>275081</v>
      </c>
    </row>
    <row r="45" spans="1:16" x14ac:dyDescent="0.3">
      <c r="A45" s="14" t="s">
        <v>54</v>
      </c>
      <c r="B45" s="14"/>
      <c r="C45" s="14" t="s">
        <v>36</v>
      </c>
      <c r="D45" s="14"/>
      <c r="E45" s="14"/>
      <c r="F45" s="4" t="s">
        <v>32</v>
      </c>
      <c r="G45" s="4" t="s">
        <v>33</v>
      </c>
      <c r="H45" s="5">
        <v>133</v>
      </c>
      <c r="I45" s="15">
        <v>1979</v>
      </c>
      <c r="J45" s="15"/>
      <c r="K45" s="15"/>
      <c r="L45" s="15">
        <v>239279</v>
      </c>
      <c r="M45" s="15"/>
      <c r="N45" s="15">
        <v>23928</v>
      </c>
      <c r="O45" s="15"/>
      <c r="P45" s="6">
        <v>263207</v>
      </c>
    </row>
    <row r="46" spans="1:16" x14ac:dyDescent="0.3">
      <c r="A46" s="14" t="s">
        <v>55</v>
      </c>
      <c r="B46" s="14"/>
      <c r="C46" s="14" t="s">
        <v>31</v>
      </c>
      <c r="D46" s="14"/>
      <c r="E46" s="14"/>
      <c r="F46" s="4" t="s">
        <v>32</v>
      </c>
      <c r="G46" s="4" t="s">
        <v>33</v>
      </c>
      <c r="H46" s="5">
        <v>64</v>
      </c>
      <c r="I46" s="15">
        <v>1979</v>
      </c>
      <c r="J46" s="15"/>
      <c r="K46" s="15"/>
      <c r="L46" s="15">
        <v>115142</v>
      </c>
      <c r="M46" s="15"/>
      <c r="N46" s="15">
        <v>11514</v>
      </c>
      <c r="O46" s="15"/>
      <c r="P46" s="6">
        <v>126656</v>
      </c>
    </row>
    <row r="47" spans="1:16" x14ac:dyDescent="0.3">
      <c r="A47" s="14" t="s">
        <v>56</v>
      </c>
      <c r="B47" s="14"/>
      <c r="C47" s="14" t="s">
        <v>36</v>
      </c>
      <c r="D47" s="14"/>
      <c r="E47" s="14"/>
      <c r="F47" s="4" t="s">
        <v>32</v>
      </c>
      <c r="G47" s="4" t="s">
        <v>33</v>
      </c>
      <c r="H47" s="5">
        <v>129</v>
      </c>
      <c r="I47" s="15">
        <v>1979</v>
      </c>
      <c r="J47" s="15"/>
      <c r="K47" s="15"/>
      <c r="L47" s="15">
        <v>232083</v>
      </c>
      <c r="M47" s="15"/>
      <c r="N47" s="15">
        <v>23208</v>
      </c>
      <c r="O47" s="15"/>
      <c r="P47" s="6">
        <v>255291</v>
      </c>
    </row>
    <row r="48" spans="1:16" x14ac:dyDescent="0.3">
      <c r="A48" s="14" t="s">
        <v>56</v>
      </c>
      <c r="B48" s="14"/>
      <c r="C48" s="14" t="s">
        <v>34</v>
      </c>
      <c r="D48" s="14"/>
      <c r="E48" s="14"/>
      <c r="F48" s="4" t="s">
        <v>32</v>
      </c>
      <c r="G48" s="4" t="s">
        <v>33</v>
      </c>
      <c r="H48" s="5">
        <v>247</v>
      </c>
      <c r="I48" s="15">
        <v>1979</v>
      </c>
      <c r="J48" s="15"/>
      <c r="K48" s="15"/>
      <c r="L48" s="15">
        <v>444375</v>
      </c>
      <c r="M48" s="15"/>
      <c r="N48" s="15">
        <v>44438</v>
      </c>
      <c r="O48" s="15"/>
      <c r="P48" s="6">
        <v>488813</v>
      </c>
    </row>
    <row r="49" spans="1:16" x14ac:dyDescent="0.3">
      <c r="A49" s="14" t="s">
        <v>56</v>
      </c>
      <c r="B49" s="14"/>
      <c r="C49" s="14" t="s">
        <v>35</v>
      </c>
      <c r="D49" s="14"/>
      <c r="E49" s="14"/>
      <c r="F49" s="4" t="s">
        <v>32</v>
      </c>
      <c r="G49" s="4" t="s">
        <v>33</v>
      </c>
      <c r="H49" s="5">
        <v>166</v>
      </c>
      <c r="I49" s="15">
        <v>1979</v>
      </c>
      <c r="J49" s="15"/>
      <c r="K49" s="15"/>
      <c r="L49" s="15">
        <v>298649</v>
      </c>
      <c r="M49" s="15"/>
      <c r="N49" s="15">
        <v>29865</v>
      </c>
      <c r="O49" s="15"/>
      <c r="P49" s="6">
        <v>328514</v>
      </c>
    </row>
    <row r="50" spans="1:16" x14ac:dyDescent="0.3">
      <c r="A50" s="14" t="s">
        <v>2</v>
      </c>
      <c r="B50" s="14"/>
      <c r="C50" s="14" t="s">
        <v>31</v>
      </c>
      <c r="D50" s="14"/>
      <c r="E50" s="14"/>
      <c r="F50" s="4" t="s">
        <v>32</v>
      </c>
      <c r="G50" s="4" t="s">
        <v>33</v>
      </c>
      <c r="H50" s="5">
        <v>80</v>
      </c>
      <c r="I50" s="15">
        <v>1979</v>
      </c>
      <c r="J50" s="15"/>
      <c r="K50" s="15"/>
      <c r="L50" s="15">
        <v>143927</v>
      </c>
      <c r="M50" s="15"/>
      <c r="N50" s="15">
        <v>14393</v>
      </c>
      <c r="O50" s="15"/>
      <c r="P50" s="6">
        <v>158320</v>
      </c>
    </row>
    <row r="51" spans="1:16" x14ac:dyDescent="0.3">
      <c r="A51" s="14" t="s">
        <v>2</v>
      </c>
      <c r="B51" s="14"/>
      <c r="C51" s="14" t="s">
        <v>36</v>
      </c>
      <c r="D51" s="14"/>
      <c r="E51" s="14"/>
      <c r="F51" s="4" t="s">
        <v>32</v>
      </c>
      <c r="G51" s="4" t="s">
        <v>33</v>
      </c>
      <c r="H51" s="5">
        <v>118</v>
      </c>
      <c r="I51" s="15">
        <v>1979</v>
      </c>
      <c r="J51" s="15"/>
      <c r="K51" s="15"/>
      <c r="L51" s="15">
        <v>212293</v>
      </c>
      <c r="M51" s="15"/>
      <c r="N51" s="15">
        <v>21229</v>
      </c>
      <c r="O51" s="15"/>
      <c r="P51" s="6">
        <v>233522</v>
      </c>
    </row>
    <row r="52" spans="1:16" x14ac:dyDescent="0.3">
      <c r="A52" s="14" t="s">
        <v>57</v>
      </c>
      <c r="B52" s="14"/>
      <c r="C52" s="14" t="s">
        <v>36</v>
      </c>
      <c r="D52" s="14"/>
      <c r="E52" s="14"/>
      <c r="F52" s="4" t="s">
        <v>32</v>
      </c>
      <c r="G52" s="4" t="s">
        <v>33</v>
      </c>
      <c r="H52" s="5">
        <v>123</v>
      </c>
      <c r="I52" s="15">
        <v>1979</v>
      </c>
      <c r="J52" s="15"/>
      <c r="K52" s="15"/>
      <c r="L52" s="15">
        <v>221288</v>
      </c>
      <c r="M52" s="15"/>
      <c r="N52" s="15">
        <v>22129</v>
      </c>
      <c r="O52" s="15"/>
      <c r="P52" s="6">
        <v>243417</v>
      </c>
    </row>
    <row r="53" spans="1:16" x14ac:dyDescent="0.3">
      <c r="A53" s="14" t="s">
        <v>57</v>
      </c>
      <c r="B53" s="14"/>
      <c r="C53" s="14" t="s">
        <v>35</v>
      </c>
      <c r="D53" s="14"/>
      <c r="E53" s="14"/>
      <c r="F53" s="4" t="s">
        <v>32</v>
      </c>
      <c r="G53" s="4" t="s">
        <v>33</v>
      </c>
      <c r="H53" s="5">
        <v>160</v>
      </c>
      <c r="I53" s="15">
        <v>1979</v>
      </c>
      <c r="J53" s="15"/>
      <c r="K53" s="15"/>
      <c r="L53" s="15">
        <v>287855</v>
      </c>
      <c r="M53" s="15"/>
      <c r="N53" s="15">
        <v>28785</v>
      </c>
      <c r="O53" s="15"/>
      <c r="P53" s="6">
        <v>316640</v>
      </c>
    </row>
    <row r="54" spans="1:16" x14ac:dyDescent="0.3">
      <c r="A54" s="14" t="s">
        <v>58</v>
      </c>
      <c r="B54" s="14"/>
      <c r="C54" s="14" t="s">
        <v>34</v>
      </c>
      <c r="D54" s="14"/>
      <c r="E54" s="14"/>
      <c r="F54" s="4" t="s">
        <v>32</v>
      </c>
      <c r="G54" s="4" t="s">
        <v>33</v>
      </c>
      <c r="H54" s="5">
        <v>220</v>
      </c>
      <c r="I54" s="15">
        <v>1979</v>
      </c>
      <c r="J54" s="15"/>
      <c r="K54" s="15"/>
      <c r="L54" s="15">
        <v>395800</v>
      </c>
      <c r="M54" s="15"/>
      <c r="N54" s="15">
        <v>39580</v>
      </c>
      <c r="O54" s="15"/>
      <c r="P54" s="6">
        <v>435380</v>
      </c>
    </row>
    <row r="55" spans="1:16" x14ac:dyDescent="0.3">
      <c r="A55" s="14" t="s">
        <v>58</v>
      </c>
      <c r="B55" s="14"/>
      <c r="C55" s="14" t="s">
        <v>36</v>
      </c>
      <c r="D55" s="14"/>
      <c r="E55" s="14"/>
      <c r="F55" s="4" t="s">
        <v>32</v>
      </c>
      <c r="G55" s="4" t="s">
        <v>33</v>
      </c>
      <c r="H55" s="5">
        <v>120</v>
      </c>
      <c r="I55" s="15">
        <v>1979</v>
      </c>
      <c r="J55" s="15"/>
      <c r="K55" s="15"/>
      <c r="L55" s="15">
        <v>215891</v>
      </c>
      <c r="M55" s="15"/>
      <c r="N55" s="15">
        <v>21589</v>
      </c>
      <c r="O55" s="15"/>
      <c r="P55" s="6">
        <v>237480</v>
      </c>
    </row>
    <row r="56" spans="1:16" ht="17.25" customHeight="1" x14ac:dyDescent="0.3">
      <c r="A56" s="16" t="s">
        <v>59</v>
      </c>
      <c r="B56" s="16"/>
      <c r="C56" s="16"/>
      <c r="D56" s="16"/>
      <c r="E56" s="16"/>
      <c r="F56" s="16"/>
      <c r="G56" s="16"/>
      <c r="H56" s="7">
        <v>6695</v>
      </c>
      <c r="I56" s="16" t="s">
        <v>4</v>
      </c>
      <c r="J56" s="16"/>
      <c r="K56" s="16"/>
      <c r="L56" s="17">
        <v>12037216</v>
      </c>
      <c r="M56" s="17"/>
      <c r="N56" s="17">
        <v>1203724</v>
      </c>
      <c r="O56" s="17"/>
      <c r="P56" s="8">
        <v>13240940</v>
      </c>
    </row>
  </sheetData>
  <mergeCells count="261">
    <mergeCell ref="A56:G56"/>
    <mergeCell ref="I56:K56"/>
    <mergeCell ref="L56:M56"/>
    <mergeCell ref="N56:O56"/>
    <mergeCell ref="A54:B54"/>
    <mergeCell ref="C54:E54"/>
    <mergeCell ref="I54:K54"/>
    <mergeCell ref="L54:M54"/>
    <mergeCell ref="N54:O54"/>
    <mergeCell ref="A55:B55"/>
    <mergeCell ref="C55:E55"/>
    <mergeCell ref="I55:K55"/>
    <mergeCell ref="L55:M55"/>
    <mergeCell ref="N55:O55"/>
    <mergeCell ref="A52:B52"/>
    <mergeCell ref="C52:E52"/>
    <mergeCell ref="I52:K52"/>
    <mergeCell ref="L52:M52"/>
    <mergeCell ref="N52:O52"/>
    <mergeCell ref="A53:B53"/>
    <mergeCell ref="C53:E53"/>
    <mergeCell ref="I53:K53"/>
    <mergeCell ref="L53:M53"/>
    <mergeCell ref="N53:O53"/>
    <mergeCell ref="A50:B50"/>
    <mergeCell ref="C50:E50"/>
    <mergeCell ref="I50:K50"/>
    <mergeCell ref="L50:M50"/>
    <mergeCell ref="N50:O50"/>
    <mergeCell ref="A51:B51"/>
    <mergeCell ref="C51:E51"/>
    <mergeCell ref="I51:K51"/>
    <mergeCell ref="L51:M51"/>
    <mergeCell ref="N51:O51"/>
    <mergeCell ref="A48:B48"/>
    <mergeCell ref="C48:E48"/>
    <mergeCell ref="I48:K48"/>
    <mergeCell ref="L48:M48"/>
    <mergeCell ref="N48:O48"/>
    <mergeCell ref="A49:B49"/>
    <mergeCell ref="C49:E49"/>
    <mergeCell ref="I49:K49"/>
    <mergeCell ref="L49:M49"/>
    <mergeCell ref="N49:O49"/>
    <mergeCell ref="A46:B46"/>
    <mergeCell ref="C46:E46"/>
    <mergeCell ref="I46:K46"/>
    <mergeCell ref="L46:M46"/>
    <mergeCell ref="N46:O46"/>
    <mergeCell ref="A47:B47"/>
    <mergeCell ref="C47:E47"/>
    <mergeCell ref="I47:K47"/>
    <mergeCell ref="L47:M47"/>
    <mergeCell ref="N47:O47"/>
    <mergeCell ref="A44:B44"/>
    <mergeCell ref="C44:E44"/>
    <mergeCell ref="I44:K44"/>
    <mergeCell ref="L44:M44"/>
    <mergeCell ref="N44:O44"/>
    <mergeCell ref="A45:B45"/>
    <mergeCell ref="C45:E45"/>
    <mergeCell ref="I45:K45"/>
    <mergeCell ref="L45:M45"/>
    <mergeCell ref="N45:O45"/>
    <mergeCell ref="A42:B42"/>
    <mergeCell ref="C42:E42"/>
    <mergeCell ref="I42:K42"/>
    <mergeCell ref="L42:M42"/>
    <mergeCell ref="N42:O42"/>
    <mergeCell ref="A43:B43"/>
    <mergeCell ref="C43:E43"/>
    <mergeCell ref="I43:K43"/>
    <mergeCell ref="L43:M43"/>
    <mergeCell ref="N43:O43"/>
    <mergeCell ref="A40:B40"/>
    <mergeCell ref="C40:E40"/>
    <mergeCell ref="I40:K40"/>
    <mergeCell ref="L40:M40"/>
    <mergeCell ref="N40:O40"/>
    <mergeCell ref="A41:B41"/>
    <mergeCell ref="C41:E41"/>
    <mergeCell ref="I41:K41"/>
    <mergeCell ref="L41:M41"/>
    <mergeCell ref="N41:O41"/>
    <mergeCell ref="A38:B38"/>
    <mergeCell ref="C38:E38"/>
    <mergeCell ref="I38:K38"/>
    <mergeCell ref="L38:M38"/>
    <mergeCell ref="N38:O38"/>
    <mergeCell ref="A39:B39"/>
    <mergeCell ref="C39:E39"/>
    <mergeCell ref="I39:K39"/>
    <mergeCell ref="L39:M39"/>
    <mergeCell ref="N39:O39"/>
    <mergeCell ref="A36:B36"/>
    <mergeCell ref="C36:E36"/>
    <mergeCell ref="I36:K36"/>
    <mergeCell ref="L36:M36"/>
    <mergeCell ref="N36:O36"/>
    <mergeCell ref="A37:B37"/>
    <mergeCell ref="C37:E37"/>
    <mergeCell ref="I37:K37"/>
    <mergeCell ref="L37:M37"/>
    <mergeCell ref="N37:O37"/>
    <mergeCell ref="A34:B34"/>
    <mergeCell ref="C34:E34"/>
    <mergeCell ref="I34:K34"/>
    <mergeCell ref="L34:M34"/>
    <mergeCell ref="N34:O34"/>
    <mergeCell ref="A35:B35"/>
    <mergeCell ref="C35:E35"/>
    <mergeCell ref="I35:K35"/>
    <mergeCell ref="L35:M35"/>
    <mergeCell ref="N35:O35"/>
    <mergeCell ref="A32:B32"/>
    <mergeCell ref="C32:E32"/>
    <mergeCell ref="I32:K32"/>
    <mergeCell ref="L32:M32"/>
    <mergeCell ref="N32:O32"/>
    <mergeCell ref="A33:B33"/>
    <mergeCell ref="C33:E33"/>
    <mergeCell ref="I33:K33"/>
    <mergeCell ref="L33:M33"/>
    <mergeCell ref="N33:O33"/>
    <mergeCell ref="A30:B30"/>
    <mergeCell ref="C30:E30"/>
    <mergeCell ref="I30:K30"/>
    <mergeCell ref="L30:M30"/>
    <mergeCell ref="N30:O30"/>
    <mergeCell ref="A31:B31"/>
    <mergeCell ref="C31:E31"/>
    <mergeCell ref="I31:K31"/>
    <mergeCell ref="L31:M31"/>
    <mergeCell ref="N31:O31"/>
    <mergeCell ref="A28:B28"/>
    <mergeCell ref="C28:E28"/>
    <mergeCell ref="I28:K28"/>
    <mergeCell ref="L28:M28"/>
    <mergeCell ref="N28:O28"/>
    <mergeCell ref="A29:B29"/>
    <mergeCell ref="C29:E29"/>
    <mergeCell ref="I29:K29"/>
    <mergeCell ref="L29:M29"/>
    <mergeCell ref="N29:O29"/>
    <mergeCell ref="A26:B26"/>
    <mergeCell ref="C26:E26"/>
    <mergeCell ref="I26:K26"/>
    <mergeCell ref="L26:M26"/>
    <mergeCell ref="N26:O26"/>
    <mergeCell ref="A27:B27"/>
    <mergeCell ref="C27:E27"/>
    <mergeCell ref="I27:K27"/>
    <mergeCell ref="L27:M27"/>
    <mergeCell ref="N27:O27"/>
    <mergeCell ref="A24:B24"/>
    <mergeCell ref="C24:E24"/>
    <mergeCell ref="I24:K24"/>
    <mergeCell ref="L24:M24"/>
    <mergeCell ref="N24:O24"/>
    <mergeCell ref="A25:B25"/>
    <mergeCell ref="C25:E25"/>
    <mergeCell ref="I25:K25"/>
    <mergeCell ref="L25:M25"/>
    <mergeCell ref="N25:O25"/>
    <mergeCell ref="A22:B22"/>
    <mergeCell ref="C22:E22"/>
    <mergeCell ref="I22:K22"/>
    <mergeCell ref="L22:M22"/>
    <mergeCell ref="N22:O22"/>
    <mergeCell ref="A23:B23"/>
    <mergeCell ref="C23:E23"/>
    <mergeCell ref="I23:K23"/>
    <mergeCell ref="L23:M23"/>
    <mergeCell ref="N23:O23"/>
    <mergeCell ref="A20:B20"/>
    <mergeCell ref="C20:E20"/>
    <mergeCell ref="I20:K20"/>
    <mergeCell ref="L20:M20"/>
    <mergeCell ref="N20:O20"/>
    <mergeCell ref="A21:B21"/>
    <mergeCell ref="C21:E21"/>
    <mergeCell ref="I21:K21"/>
    <mergeCell ref="L21:M21"/>
    <mergeCell ref="N21:O21"/>
    <mergeCell ref="A18:B18"/>
    <mergeCell ref="C18:E18"/>
    <mergeCell ref="I18:K18"/>
    <mergeCell ref="L18:M18"/>
    <mergeCell ref="N18:O18"/>
    <mergeCell ref="A19:B19"/>
    <mergeCell ref="C19:E19"/>
    <mergeCell ref="I19:K19"/>
    <mergeCell ref="L19:M19"/>
    <mergeCell ref="N19:O19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</mergeCells>
  <phoneticPr fontId="6" type="noConversion"/>
  <pageMargins left="0.7" right="0.7" top="0.75" bottom="0.75" header="0.3" footer="0.3"/>
  <pageSetup paperSize="9" orientation="landscape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CD6E8-B1B1-4B03-9921-5EB6899777AF}">
  <sheetPr>
    <pageSetUpPr fitToPage="1"/>
  </sheetPr>
  <dimension ref="A1:P32"/>
  <sheetViews>
    <sheetView topLeftCell="A4" workbookViewId="0">
      <selection activeCell="P32" sqref="L32:P32"/>
    </sheetView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 t="s">
        <v>1</v>
      </c>
      <c r="N1" s="10"/>
      <c r="O1" s="10" t="s">
        <v>2</v>
      </c>
      <c r="P1" s="10"/>
    </row>
    <row r="2" spans="1:16" ht="18" customHeight="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10" t="s">
        <v>3</v>
      </c>
      <c r="N2" s="10"/>
      <c r="O2" s="10" t="s">
        <v>4</v>
      </c>
      <c r="P2" s="10"/>
    </row>
    <row r="3" spans="1:16" ht="27" customHeight="1" x14ac:dyDescent="0.3">
      <c r="A3" s="12" t="s">
        <v>5</v>
      </c>
      <c r="B3" s="2" t="s">
        <v>6</v>
      </c>
      <c r="C3" s="11" t="s">
        <v>7</v>
      </c>
      <c r="D3" s="11"/>
      <c r="E3" s="11"/>
      <c r="F3" s="11"/>
      <c r="G3" s="11"/>
      <c r="H3" s="11"/>
      <c r="I3" s="12" t="s">
        <v>8</v>
      </c>
      <c r="J3" s="2" t="s">
        <v>6</v>
      </c>
      <c r="K3" s="11" t="s">
        <v>9</v>
      </c>
      <c r="L3" s="11"/>
      <c r="M3" s="11"/>
      <c r="N3" s="11"/>
      <c r="O3" s="11"/>
      <c r="P3" s="11"/>
    </row>
    <row r="4" spans="1:16" ht="27" customHeight="1" x14ac:dyDescent="0.3">
      <c r="A4" s="12"/>
      <c r="B4" s="2" t="s">
        <v>10</v>
      </c>
      <c r="C4" s="13" t="s">
        <v>11</v>
      </c>
      <c r="D4" s="13"/>
      <c r="E4" s="13"/>
      <c r="F4" s="13"/>
      <c r="G4" s="1" t="s">
        <v>12</v>
      </c>
      <c r="H4" s="3" t="s">
        <v>13</v>
      </c>
      <c r="I4" s="12"/>
      <c r="J4" s="2" t="s">
        <v>10</v>
      </c>
      <c r="K4" s="13" t="s">
        <v>14</v>
      </c>
      <c r="L4" s="13"/>
      <c r="M4" s="13"/>
      <c r="N4" s="13"/>
      <c r="O4" s="1" t="s">
        <v>12</v>
      </c>
      <c r="P4" s="2" t="s">
        <v>4</v>
      </c>
    </row>
    <row r="5" spans="1:16" ht="27" customHeight="1" x14ac:dyDescent="0.3">
      <c r="A5" s="12"/>
      <c r="B5" s="2" t="s">
        <v>15</v>
      </c>
      <c r="C5" s="13" t="s">
        <v>16</v>
      </c>
      <c r="D5" s="13"/>
      <c r="E5" s="13"/>
      <c r="F5" s="13"/>
      <c r="G5" s="13"/>
      <c r="H5" s="13"/>
      <c r="I5" s="12"/>
      <c r="J5" s="2" t="s">
        <v>15</v>
      </c>
      <c r="K5" s="13" t="s">
        <v>4</v>
      </c>
      <c r="L5" s="13"/>
      <c r="M5" s="13"/>
      <c r="N5" s="13"/>
      <c r="O5" s="13"/>
      <c r="P5" s="13"/>
    </row>
    <row r="6" spans="1:16" ht="27" customHeight="1" x14ac:dyDescent="0.3">
      <c r="A6" s="12"/>
      <c r="B6" s="1" t="s">
        <v>17</v>
      </c>
      <c r="C6" s="13" t="s">
        <v>18</v>
      </c>
      <c r="D6" s="13"/>
      <c r="E6" s="13"/>
      <c r="F6" s="1" t="s">
        <v>19</v>
      </c>
      <c r="G6" s="13" t="s">
        <v>20</v>
      </c>
      <c r="H6" s="13"/>
      <c r="I6" s="12"/>
      <c r="J6" s="1" t="s">
        <v>17</v>
      </c>
      <c r="K6" s="10" t="s">
        <v>4</v>
      </c>
      <c r="L6" s="10"/>
      <c r="M6" s="10"/>
      <c r="N6" s="1" t="s">
        <v>19</v>
      </c>
      <c r="O6" s="10" t="s">
        <v>4</v>
      </c>
      <c r="P6" s="10"/>
    </row>
    <row r="7" spans="1:16" ht="6.95" customHeight="1" x14ac:dyDescent="0.3"/>
    <row r="8" spans="1:16" x14ac:dyDescent="0.3">
      <c r="A8" s="14" t="s">
        <v>21</v>
      </c>
      <c r="B8" s="14"/>
      <c r="C8" s="14" t="s">
        <v>22</v>
      </c>
      <c r="D8" s="14"/>
      <c r="E8" s="14"/>
      <c r="F8" s="4" t="s">
        <v>23</v>
      </c>
      <c r="G8" s="4" t="s">
        <v>24</v>
      </c>
      <c r="H8" s="4" t="s">
        <v>25</v>
      </c>
      <c r="I8" s="14" t="s">
        <v>26</v>
      </c>
      <c r="J8" s="14"/>
      <c r="K8" s="14"/>
      <c r="L8" s="14" t="s">
        <v>27</v>
      </c>
      <c r="M8" s="14"/>
      <c r="N8" s="14" t="s">
        <v>28</v>
      </c>
      <c r="O8" s="14"/>
      <c r="P8" s="4" t="s">
        <v>29</v>
      </c>
    </row>
    <row r="9" spans="1:16" x14ac:dyDescent="0.3">
      <c r="A9" s="14" t="s">
        <v>30</v>
      </c>
      <c r="B9" s="14"/>
      <c r="C9" s="14" t="s">
        <v>31</v>
      </c>
      <c r="D9" s="14"/>
      <c r="E9" s="14"/>
      <c r="F9" s="4" t="s">
        <v>32</v>
      </c>
      <c r="G9" s="4" t="s">
        <v>33</v>
      </c>
      <c r="H9" s="5">
        <v>96</v>
      </c>
      <c r="I9" s="15">
        <v>1974</v>
      </c>
      <c r="J9" s="15"/>
      <c r="K9" s="15"/>
      <c r="L9" s="15">
        <v>172276</v>
      </c>
      <c r="M9" s="15"/>
      <c r="N9" s="15">
        <v>17228</v>
      </c>
      <c r="O9" s="15"/>
      <c r="P9" s="6">
        <v>189504</v>
      </c>
    </row>
    <row r="10" spans="1:16" x14ac:dyDescent="0.3">
      <c r="A10" s="14" t="s">
        <v>30</v>
      </c>
      <c r="B10" s="14"/>
      <c r="C10" s="14" t="s">
        <v>34</v>
      </c>
      <c r="D10" s="14"/>
      <c r="E10" s="14"/>
      <c r="F10" s="4" t="s">
        <v>32</v>
      </c>
      <c r="G10" s="4" t="s">
        <v>33</v>
      </c>
      <c r="H10" s="5">
        <v>260</v>
      </c>
      <c r="I10" s="15">
        <v>1974</v>
      </c>
      <c r="J10" s="15"/>
      <c r="K10" s="15"/>
      <c r="L10" s="15">
        <v>466582</v>
      </c>
      <c r="M10" s="15"/>
      <c r="N10" s="15">
        <v>46658</v>
      </c>
      <c r="O10" s="15"/>
      <c r="P10" s="6">
        <v>513240</v>
      </c>
    </row>
    <row r="11" spans="1:16" x14ac:dyDescent="0.3">
      <c r="A11" s="14" t="s">
        <v>30</v>
      </c>
      <c r="B11" s="14"/>
      <c r="C11" s="14" t="s">
        <v>35</v>
      </c>
      <c r="D11" s="14"/>
      <c r="E11" s="14"/>
      <c r="F11" s="4" t="s">
        <v>32</v>
      </c>
      <c r="G11" s="4" t="s">
        <v>33</v>
      </c>
      <c r="H11" s="5">
        <v>110</v>
      </c>
      <c r="I11" s="15">
        <v>1974</v>
      </c>
      <c r="J11" s="15"/>
      <c r="K11" s="15"/>
      <c r="L11" s="15">
        <v>197400</v>
      </c>
      <c r="M11" s="15"/>
      <c r="N11" s="15">
        <v>19740</v>
      </c>
      <c r="O11" s="15"/>
      <c r="P11" s="6">
        <v>217140</v>
      </c>
    </row>
    <row r="12" spans="1:16" x14ac:dyDescent="0.3">
      <c r="A12" s="14" t="s">
        <v>30</v>
      </c>
      <c r="B12" s="14"/>
      <c r="C12" s="14" t="s">
        <v>36</v>
      </c>
      <c r="D12" s="14"/>
      <c r="E12" s="14"/>
      <c r="F12" s="4" t="s">
        <v>32</v>
      </c>
      <c r="G12" s="4" t="s">
        <v>33</v>
      </c>
      <c r="H12" s="5">
        <v>120</v>
      </c>
      <c r="I12" s="15">
        <v>1974</v>
      </c>
      <c r="J12" s="15"/>
      <c r="K12" s="15"/>
      <c r="L12" s="15">
        <v>215345</v>
      </c>
      <c r="M12" s="15"/>
      <c r="N12" s="15">
        <v>21535</v>
      </c>
      <c r="O12" s="15"/>
      <c r="P12" s="6">
        <v>236880</v>
      </c>
    </row>
    <row r="13" spans="1:16" x14ac:dyDescent="0.3">
      <c r="A13" s="14" t="s">
        <v>37</v>
      </c>
      <c r="B13" s="14"/>
      <c r="C13" s="14" t="s">
        <v>36</v>
      </c>
      <c r="D13" s="14"/>
      <c r="E13" s="14"/>
      <c r="F13" s="4" t="s">
        <v>32</v>
      </c>
      <c r="G13" s="4" t="s">
        <v>33</v>
      </c>
      <c r="H13" s="5">
        <v>121</v>
      </c>
      <c r="I13" s="15">
        <v>1974</v>
      </c>
      <c r="J13" s="15"/>
      <c r="K13" s="15"/>
      <c r="L13" s="15">
        <v>217140</v>
      </c>
      <c r="M13" s="15"/>
      <c r="N13" s="15">
        <v>21714</v>
      </c>
      <c r="O13" s="15"/>
      <c r="P13" s="6">
        <v>238854</v>
      </c>
    </row>
    <row r="14" spans="1:16" x14ac:dyDescent="0.3">
      <c r="A14" s="14" t="s">
        <v>37</v>
      </c>
      <c r="B14" s="14"/>
      <c r="C14" s="14" t="s">
        <v>35</v>
      </c>
      <c r="D14" s="14"/>
      <c r="E14" s="14"/>
      <c r="F14" s="4" t="s">
        <v>32</v>
      </c>
      <c r="G14" s="4" t="s">
        <v>33</v>
      </c>
      <c r="H14" s="5">
        <v>149</v>
      </c>
      <c r="I14" s="15">
        <v>1974</v>
      </c>
      <c r="J14" s="15"/>
      <c r="K14" s="15"/>
      <c r="L14" s="15">
        <v>267387</v>
      </c>
      <c r="M14" s="15"/>
      <c r="N14" s="15">
        <v>26739</v>
      </c>
      <c r="O14" s="15"/>
      <c r="P14" s="6">
        <v>294126</v>
      </c>
    </row>
    <row r="15" spans="1:16" x14ac:dyDescent="0.3">
      <c r="A15" s="14" t="s">
        <v>38</v>
      </c>
      <c r="B15" s="14"/>
      <c r="C15" s="14" t="s">
        <v>36</v>
      </c>
      <c r="D15" s="14"/>
      <c r="E15" s="14"/>
      <c r="F15" s="4" t="s">
        <v>32</v>
      </c>
      <c r="G15" s="4" t="s">
        <v>33</v>
      </c>
      <c r="H15" s="5">
        <v>115</v>
      </c>
      <c r="I15" s="15">
        <v>1974</v>
      </c>
      <c r="J15" s="15"/>
      <c r="K15" s="15"/>
      <c r="L15" s="15">
        <v>206373</v>
      </c>
      <c r="M15" s="15"/>
      <c r="N15" s="15">
        <v>20637</v>
      </c>
      <c r="O15" s="15"/>
      <c r="P15" s="6">
        <v>227010</v>
      </c>
    </row>
    <row r="16" spans="1:16" x14ac:dyDescent="0.3">
      <c r="A16" s="14" t="s">
        <v>39</v>
      </c>
      <c r="B16" s="14"/>
      <c r="C16" s="14" t="s">
        <v>35</v>
      </c>
      <c r="D16" s="14"/>
      <c r="E16" s="14"/>
      <c r="F16" s="4" t="s">
        <v>32</v>
      </c>
      <c r="G16" s="4" t="s">
        <v>33</v>
      </c>
      <c r="H16" s="5">
        <v>156</v>
      </c>
      <c r="I16" s="15">
        <v>1974</v>
      </c>
      <c r="J16" s="15"/>
      <c r="K16" s="15"/>
      <c r="L16" s="15">
        <v>279949</v>
      </c>
      <c r="M16" s="15"/>
      <c r="N16" s="15">
        <v>27995</v>
      </c>
      <c r="O16" s="15"/>
      <c r="P16" s="6">
        <v>307944</v>
      </c>
    </row>
    <row r="17" spans="1:16" x14ac:dyDescent="0.3">
      <c r="A17" s="14" t="s">
        <v>39</v>
      </c>
      <c r="B17" s="14"/>
      <c r="C17" s="14" t="s">
        <v>34</v>
      </c>
      <c r="D17" s="14"/>
      <c r="E17" s="14"/>
      <c r="F17" s="4" t="s">
        <v>32</v>
      </c>
      <c r="G17" s="4" t="s">
        <v>33</v>
      </c>
      <c r="H17" s="5">
        <v>245</v>
      </c>
      <c r="I17" s="15">
        <v>1974</v>
      </c>
      <c r="J17" s="15"/>
      <c r="K17" s="15"/>
      <c r="L17" s="15">
        <v>439664</v>
      </c>
      <c r="M17" s="15"/>
      <c r="N17" s="15">
        <v>43966</v>
      </c>
      <c r="O17" s="15"/>
      <c r="P17" s="6">
        <v>483630</v>
      </c>
    </row>
    <row r="18" spans="1:16" x14ac:dyDescent="0.3">
      <c r="A18" s="14" t="s">
        <v>40</v>
      </c>
      <c r="B18" s="14"/>
      <c r="C18" s="14" t="s">
        <v>31</v>
      </c>
      <c r="D18" s="14"/>
      <c r="E18" s="14"/>
      <c r="F18" s="4" t="s">
        <v>32</v>
      </c>
      <c r="G18" s="4" t="s">
        <v>33</v>
      </c>
      <c r="H18" s="5">
        <v>94</v>
      </c>
      <c r="I18" s="15">
        <v>1974</v>
      </c>
      <c r="J18" s="15"/>
      <c r="K18" s="15"/>
      <c r="L18" s="15">
        <v>168687</v>
      </c>
      <c r="M18" s="15"/>
      <c r="N18" s="15">
        <v>16869</v>
      </c>
      <c r="O18" s="15"/>
      <c r="P18" s="6">
        <v>185556</v>
      </c>
    </row>
    <row r="19" spans="1:16" x14ac:dyDescent="0.3">
      <c r="A19" s="14" t="s">
        <v>40</v>
      </c>
      <c r="B19" s="14"/>
      <c r="C19" s="14" t="s">
        <v>36</v>
      </c>
      <c r="D19" s="14"/>
      <c r="E19" s="14"/>
      <c r="F19" s="4" t="s">
        <v>32</v>
      </c>
      <c r="G19" s="4" t="s">
        <v>33</v>
      </c>
      <c r="H19" s="5">
        <v>120</v>
      </c>
      <c r="I19" s="15">
        <v>1974</v>
      </c>
      <c r="J19" s="15"/>
      <c r="K19" s="15"/>
      <c r="L19" s="15">
        <v>215345</v>
      </c>
      <c r="M19" s="15"/>
      <c r="N19" s="15">
        <v>21535</v>
      </c>
      <c r="O19" s="15"/>
      <c r="P19" s="6">
        <v>236880</v>
      </c>
    </row>
    <row r="20" spans="1:16" x14ac:dyDescent="0.3">
      <c r="A20" s="14" t="s">
        <v>41</v>
      </c>
      <c r="B20" s="14"/>
      <c r="C20" s="14" t="s">
        <v>36</v>
      </c>
      <c r="D20" s="14"/>
      <c r="E20" s="14"/>
      <c r="F20" s="4" t="s">
        <v>32</v>
      </c>
      <c r="G20" s="4" t="s">
        <v>33</v>
      </c>
      <c r="H20" s="5">
        <v>107</v>
      </c>
      <c r="I20" s="15">
        <v>1974</v>
      </c>
      <c r="J20" s="15"/>
      <c r="K20" s="15"/>
      <c r="L20" s="15">
        <v>192016</v>
      </c>
      <c r="M20" s="15"/>
      <c r="N20" s="15">
        <v>19202</v>
      </c>
      <c r="O20" s="15"/>
      <c r="P20" s="6">
        <v>211218</v>
      </c>
    </row>
    <row r="21" spans="1:16" x14ac:dyDescent="0.3">
      <c r="A21" s="14" t="s">
        <v>42</v>
      </c>
      <c r="B21" s="14"/>
      <c r="C21" s="14" t="s">
        <v>35</v>
      </c>
      <c r="D21" s="14"/>
      <c r="E21" s="14"/>
      <c r="F21" s="4" t="s">
        <v>32</v>
      </c>
      <c r="G21" s="4" t="s">
        <v>33</v>
      </c>
      <c r="H21" s="5">
        <v>170</v>
      </c>
      <c r="I21" s="15">
        <v>1979</v>
      </c>
      <c r="J21" s="15"/>
      <c r="K21" s="15"/>
      <c r="L21" s="15">
        <v>305845</v>
      </c>
      <c r="M21" s="15"/>
      <c r="N21" s="15">
        <v>30585</v>
      </c>
      <c r="O21" s="15"/>
      <c r="P21" s="6">
        <v>336430</v>
      </c>
    </row>
    <row r="22" spans="1:16" x14ac:dyDescent="0.3">
      <c r="A22" s="14" t="s">
        <v>42</v>
      </c>
      <c r="B22" s="14"/>
      <c r="C22" s="14" t="s">
        <v>36</v>
      </c>
      <c r="D22" s="14"/>
      <c r="E22" s="14"/>
      <c r="F22" s="4" t="s">
        <v>32</v>
      </c>
      <c r="G22" s="4" t="s">
        <v>33</v>
      </c>
      <c r="H22" s="5">
        <v>122</v>
      </c>
      <c r="I22" s="15">
        <v>1979</v>
      </c>
      <c r="J22" s="15"/>
      <c r="K22" s="15"/>
      <c r="L22" s="15">
        <v>219489</v>
      </c>
      <c r="M22" s="15"/>
      <c r="N22" s="15">
        <v>21949</v>
      </c>
      <c r="O22" s="15"/>
      <c r="P22" s="6">
        <v>241438</v>
      </c>
    </row>
    <row r="23" spans="1:16" x14ac:dyDescent="0.3">
      <c r="A23" s="14" t="s">
        <v>43</v>
      </c>
      <c r="B23" s="14"/>
      <c r="C23" s="14" t="s">
        <v>31</v>
      </c>
      <c r="D23" s="14"/>
      <c r="E23" s="14"/>
      <c r="F23" s="4" t="s">
        <v>32</v>
      </c>
      <c r="G23" s="4" t="s">
        <v>33</v>
      </c>
      <c r="H23" s="5">
        <v>102</v>
      </c>
      <c r="I23" s="15">
        <v>1979</v>
      </c>
      <c r="J23" s="15"/>
      <c r="K23" s="15"/>
      <c r="L23" s="15">
        <v>183507</v>
      </c>
      <c r="M23" s="15"/>
      <c r="N23" s="15">
        <v>18351</v>
      </c>
      <c r="O23" s="15"/>
      <c r="P23" s="6">
        <v>201858</v>
      </c>
    </row>
    <row r="24" spans="1:16" x14ac:dyDescent="0.3">
      <c r="A24" s="14" t="s">
        <v>43</v>
      </c>
      <c r="B24" s="14"/>
      <c r="C24" s="14" t="s">
        <v>34</v>
      </c>
      <c r="D24" s="14"/>
      <c r="E24" s="14"/>
      <c r="F24" s="4" t="s">
        <v>32</v>
      </c>
      <c r="G24" s="4" t="s">
        <v>33</v>
      </c>
      <c r="H24" s="5">
        <v>220</v>
      </c>
      <c r="I24" s="15">
        <v>1979</v>
      </c>
      <c r="J24" s="15"/>
      <c r="K24" s="15"/>
      <c r="L24" s="15">
        <v>395800</v>
      </c>
      <c r="M24" s="15"/>
      <c r="N24" s="15">
        <v>39580</v>
      </c>
      <c r="O24" s="15"/>
      <c r="P24" s="6">
        <v>435380</v>
      </c>
    </row>
    <row r="25" spans="1:16" x14ac:dyDescent="0.3">
      <c r="A25" s="14" t="s">
        <v>43</v>
      </c>
      <c r="B25" s="14"/>
      <c r="C25" s="14" t="s">
        <v>36</v>
      </c>
      <c r="D25" s="14"/>
      <c r="E25" s="14"/>
      <c r="F25" s="4" t="s">
        <v>32</v>
      </c>
      <c r="G25" s="4" t="s">
        <v>33</v>
      </c>
      <c r="H25" s="5">
        <v>93</v>
      </c>
      <c r="I25" s="15">
        <v>1979</v>
      </c>
      <c r="J25" s="15"/>
      <c r="K25" s="15"/>
      <c r="L25" s="15">
        <v>167315</v>
      </c>
      <c r="M25" s="15"/>
      <c r="N25" s="15">
        <v>16732</v>
      </c>
      <c r="O25" s="15"/>
      <c r="P25" s="6">
        <v>184047</v>
      </c>
    </row>
    <row r="26" spans="1:16" x14ac:dyDescent="0.3">
      <c r="A26" s="14" t="s">
        <v>43</v>
      </c>
      <c r="B26" s="14"/>
      <c r="C26" s="14" t="s">
        <v>35</v>
      </c>
      <c r="D26" s="14"/>
      <c r="E26" s="14"/>
      <c r="F26" s="4" t="s">
        <v>32</v>
      </c>
      <c r="G26" s="4" t="s">
        <v>33</v>
      </c>
      <c r="H26" s="5">
        <v>157</v>
      </c>
      <c r="I26" s="15">
        <v>1979</v>
      </c>
      <c r="J26" s="15"/>
      <c r="K26" s="15"/>
      <c r="L26" s="15">
        <v>282457</v>
      </c>
      <c r="M26" s="15"/>
      <c r="N26" s="15">
        <v>28246</v>
      </c>
      <c r="O26" s="15"/>
      <c r="P26" s="6">
        <v>310703</v>
      </c>
    </row>
    <row r="27" spans="1:16" x14ac:dyDescent="0.3">
      <c r="A27" s="14" t="s">
        <v>44</v>
      </c>
      <c r="B27" s="14"/>
      <c r="C27" s="14" t="s">
        <v>36</v>
      </c>
      <c r="D27" s="14"/>
      <c r="E27" s="14"/>
      <c r="F27" s="4" t="s">
        <v>32</v>
      </c>
      <c r="G27" s="4" t="s">
        <v>33</v>
      </c>
      <c r="H27" s="5">
        <v>124</v>
      </c>
      <c r="I27" s="15">
        <v>1979</v>
      </c>
      <c r="J27" s="15"/>
      <c r="K27" s="15"/>
      <c r="L27" s="15">
        <v>223087</v>
      </c>
      <c r="M27" s="15"/>
      <c r="N27" s="15">
        <v>22309</v>
      </c>
      <c r="O27" s="15"/>
      <c r="P27" s="6">
        <v>245396</v>
      </c>
    </row>
    <row r="28" spans="1:16" x14ac:dyDescent="0.3">
      <c r="A28" s="14" t="s">
        <v>45</v>
      </c>
      <c r="B28" s="14"/>
      <c r="C28" s="14" t="s">
        <v>35</v>
      </c>
      <c r="D28" s="14"/>
      <c r="E28" s="14"/>
      <c r="F28" s="4" t="s">
        <v>32</v>
      </c>
      <c r="G28" s="4" t="s">
        <v>33</v>
      </c>
      <c r="H28" s="5">
        <v>147</v>
      </c>
      <c r="I28" s="15">
        <v>1979</v>
      </c>
      <c r="J28" s="15"/>
      <c r="K28" s="15"/>
      <c r="L28" s="15">
        <v>264466</v>
      </c>
      <c r="M28" s="15"/>
      <c r="N28" s="15">
        <v>26447</v>
      </c>
      <c r="O28" s="15"/>
      <c r="P28" s="6">
        <v>290913</v>
      </c>
    </row>
    <row r="29" spans="1:16" x14ac:dyDescent="0.3">
      <c r="A29" s="14" t="s">
        <v>45</v>
      </c>
      <c r="B29" s="14"/>
      <c r="C29" s="14" t="s">
        <v>36</v>
      </c>
      <c r="D29" s="14"/>
      <c r="E29" s="14"/>
      <c r="F29" s="4" t="s">
        <v>32</v>
      </c>
      <c r="G29" s="4" t="s">
        <v>33</v>
      </c>
      <c r="H29" s="5">
        <v>100</v>
      </c>
      <c r="I29" s="15">
        <v>1979</v>
      </c>
      <c r="J29" s="15"/>
      <c r="K29" s="15"/>
      <c r="L29" s="15">
        <v>179909</v>
      </c>
      <c r="M29" s="15"/>
      <c r="N29" s="15">
        <v>17991</v>
      </c>
      <c r="O29" s="15"/>
      <c r="P29" s="6">
        <v>197900</v>
      </c>
    </row>
    <row r="30" spans="1:16" x14ac:dyDescent="0.3">
      <c r="A30" s="14" t="s">
        <v>46</v>
      </c>
      <c r="B30" s="14"/>
      <c r="C30" s="14" t="s">
        <v>34</v>
      </c>
      <c r="D30" s="14"/>
      <c r="E30" s="14"/>
      <c r="F30" s="4" t="s">
        <v>32</v>
      </c>
      <c r="G30" s="4" t="s">
        <v>33</v>
      </c>
      <c r="H30" s="5">
        <v>270</v>
      </c>
      <c r="I30" s="15">
        <v>1979</v>
      </c>
      <c r="J30" s="15"/>
      <c r="K30" s="15"/>
      <c r="L30" s="15">
        <v>485755</v>
      </c>
      <c r="M30" s="15"/>
      <c r="N30" s="15">
        <v>48575</v>
      </c>
      <c r="O30" s="15"/>
      <c r="P30" s="6">
        <v>534330</v>
      </c>
    </row>
    <row r="31" spans="1:16" x14ac:dyDescent="0.3">
      <c r="A31" s="14" t="s">
        <v>46</v>
      </c>
      <c r="B31" s="14"/>
      <c r="C31" s="14" t="s">
        <v>36</v>
      </c>
      <c r="D31" s="14"/>
      <c r="E31" s="14"/>
      <c r="F31" s="4" t="s">
        <v>32</v>
      </c>
      <c r="G31" s="4" t="s">
        <v>33</v>
      </c>
      <c r="H31" s="5">
        <v>110</v>
      </c>
      <c r="I31" s="15">
        <v>1979</v>
      </c>
      <c r="J31" s="15"/>
      <c r="K31" s="15"/>
      <c r="L31" s="15">
        <v>197900</v>
      </c>
      <c r="M31" s="15"/>
      <c r="N31" s="15">
        <v>19790</v>
      </c>
      <c r="O31" s="15"/>
      <c r="P31" s="6">
        <v>217690</v>
      </c>
    </row>
    <row r="32" spans="1:16" ht="17.25" customHeight="1" x14ac:dyDescent="0.3">
      <c r="A32" s="16" t="s">
        <v>59</v>
      </c>
      <c r="B32" s="16"/>
      <c r="C32" s="16"/>
      <c r="D32" s="16"/>
      <c r="E32" s="16"/>
      <c r="F32" s="16"/>
      <c r="G32" s="16"/>
      <c r="H32" s="7">
        <v>6695</v>
      </c>
      <c r="I32" s="16" t="s">
        <v>4</v>
      </c>
      <c r="J32" s="16"/>
      <c r="K32" s="16"/>
      <c r="L32" s="17">
        <f>SUM(L9:M31)</f>
        <v>5943694</v>
      </c>
      <c r="M32" s="17"/>
      <c r="N32" s="17">
        <f>SUM(N9:O31)</f>
        <v>594373</v>
      </c>
      <c r="O32" s="17"/>
      <c r="P32" s="8">
        <f>SUM(P9:Q31)</f>
        <v>6538067</v>
      </c>
    </row>
  </sheetData>
  <mergeCells count="141">
    <mergeCell ref="A32:G32"/>
    <mergeCell ref="I32:K32"/>
    <mergeCell ref="L32:M32"/>
    <mergeCell ref="N32:O32"/>
    <mergeCell ref="A30:B30"/>
    <mergeCell ref="C30:E30"/>
    <mergeCell ref="I30:K30"/>
    <mergeCell ref="L30:M30"/>
    <mergeCell ref="N30:O30"/>
    <mergeCell ref="A31:B31"/>
    <mergeCell ref="C31:E31"/>
    <mergeCell ref="I31:K31"/>
    <mergeCell ref="L31:M31"/>
    <mergeCell ref="N31:O31"/>
    <mergeCell ref="A28:B28"/>
    <mergeCell ref="C28:E28"/>
    <mergeCell ref="I28:K28"/>
    <mergeCell ref="L28:M28"/>
    <mergeCell ref="N28:O28"/>
    <mergeCell ref="A29:B29"/>
    <mergeCell ref="C29:E29"/>
    <mergeCell ref="I29:K29"/>
    <mergeCell ref="L29:M29"/>
    <mergeCell ref="N29:O29"/>
    <mergeCell ref="A26:B26"/>
    <mergeCell ref="C26:E26"/>
    <mergeCell ref="I26:K26"/>
    <mergeCell ref="L26:M26"/>
    <mergeCell ref="N26:O26"/>
    <mergeCell ref="A27:B27"/>
    <mergeCell ref="C27:E27"/>
    <mergeCell ref="I27:K27"/>
    <mergeCell ref="L27:M27"/>
    <mergeCell ref="N27:O27"/>
    <mergeCell ref="A24:B24"/>
    <mergeCell ref="C24:E24"/>
    <mergeCell ref="I24:K24"/>
    <mergeCell ref="L24:M24"/>
    <mergeCell ref="N24:O24"/>
    <mergeCell ref="A25:B25"/>
    <mergeCell ref="C25:E25"/>
    <mergeCell ref="I25:K25"/>
    <mergeCell ref="L25:M25"/>
    <mergeCell ref="N25:O25"/>
    <mergeCell ref="A22:B22"/>
    <mergeCell ref="C22:E22"/>
    <mergeCell ref="I22:K22"/>
    <mergeCell ref="L22:M22"/>
    <mergeCell ref="N22:O22"/>
    <mergeCell ref="A23:B23"/>
    <mergeCell ref="C23:E23"/>
    <mergeCell ref="I23:K23"/>
    <mergeCell ref="L23:M23"/>
    <mergeCell ref="N23:O23"/>
    <mergeCell ref="A20:B20"/>
    <mergeCell ref="C20:E20"/>
    <mergeCell ref="I20:K20"/>
    <mergeCell ref="L20:M20"/>
    <mergeCell ref="N20:O20"/>
    <mergeCell ref="A21:B21"/>
    <mergeCell ref="C21:E21"/>
    <mergeCell ref="I21:K21"/>
    <mergeCell ref="L21:M21"/>
    <mergeCell ref="N21:O21"/>
    <mergeCell ref="A18:B18"/>
    <mergeCell ref="C18:E18"/>
    <mergeCell ref="I18:K18"/>
    <mergeCell ref="L18:M18"/>
    <mergeCell ref="N18:O18"/>
    <mergeCell ref="A19:B19"/>
    <mergeCell ref="C19:E19"/>
    <mergeCell ref="I19:K19"/>
    <mergeCell ref="L19:M19"/>
    <mergeCell ref="N19:O19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K4:N4"/>
    <mergeCell ref="C5:H5"/>
    <mergeCell ref="K5:P5"/>
    <mergeCell ref="C6:E6"/>
    <mergeCell ref="G6:H6"/>
    <mergeCell ref="K6:M6"/>
    <mergeCell ref="O6:P6"/>
    <mergeCell ref="A1:L2"/>
    <mergeCell ref="M1:N1"/>
    <mergeCell ref="O1:P1"/>
    <mergeCell ref="M2:N2"/>
    <mergeCell ref="O2:P2"/>
    <mergeCell ref="A3:A6"/>
    <mergeCell ref="C3:H3"/>
    <mergeCell ref="I3:I6"/>
    <mergeCell ref="K3:P3"/>
    <mergeCell ref="C4:F4"/>
  </mergeCells>
  <phoneticPr fontId="6" type="noConversion"/>
  <pageMargins left="0.7" right="0.7" top="0.75" bottom="0.75" header="0.3" footer="0.3"/>
  <pageSetup paperSize="9" orientation="landscape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291A4-122E-40F2-B700-C3CFF3A8D996}">
  <sheetPr>
    <pageSetUpPr fitToPage="1"/>
  </sheetPr>
  <dimension ref="A1:P33"/>
  <sheetViews>
    <sheetView topLeftCell="A5" workbookViewId="0">
      <selection activeCell="R22" sqref="R22"/>
    </sheetView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 t="s">
        <v>1</v>
      </c>
      <c r="N1" s="10"/>
      <c r="O1" s="10" t="s">
        <v>2</v>
      </c>
      <c r="P1" s="10"/>
    </row>
    <row r="2" spans="1:16" ht="18" customHeight="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10" t="s">
        <v>3</v>
      </c>
      <c r="N2" s="10"/>
      <c r="O2" s="10" t="s">
        <v>4</v>
      </c>
      <c r="P2" s="10"/>
    </row>
    <row r="3" spans="1:16" ht="27" customHeight="1" x14ac:dyDescent="0.3">
      <c r="A3" s="12" t="s">
        <v>5</v>
      </c>
      <c r="B3" s="2" t="s">
        <v>6</v>
      </c>
      <c r="C3" s="11" t="s">
        <v>7</v>
      </c>
      <c r="D3" s="11"/>
      <c r="E3" s="11"/>
      <c r="F3" s="11"/>
      <c r="G3" s="11"/>
      <c r="H3" s="11"/>
      <c r="I3" s="12" t="s">
        <v>8</v>
      </c>
      <c r="J3" s="2" t="s">
        <v>6</v>
      </c>
      <c r="K3" s="11" t="s">
        <v>9</v>
      </c>
      <c r="L3" s="11"/>
      <c r="M3" s="11"/>
      <c r="N3" s="11"/>
      <c r="O3" s="11"/>
      <c r="P3" s="11"/>
    </row>
    <row r="4" spans="1:16" ht="27" customHeight="1" x14ac:dyDescent="0.3">
      <c r="A4" s="12"/>
      <c r="B4" s="2" t="s">
        <v>10</v>
      </c>
      <c r="C4" s="13" t="s">
        <v>11</v>
      </c>
      <c r="D4" s="13"/>
      <c r="E4" s="13"/>
      <c r="F4" s="13"/>
      <c r="G4" s="1" t="s">
        <v>12</v>
      </c>
      <c r="H4" s="3" t="s">
        <v>13</v>
      </c>
      <c r="I4" s="12"/>
      <c r="J4" s="2" t="s">
        <v>10</v>
      </c>
      <c r="K4" s="13" t="s">
        <v>14</v>
      </c>
      <c r="L4" s="13"/>
      <c r="M4" s="13"/>
      <c r="N4" s="13"/>
      <c r="O4" s="1" t="s">
        <v>12</v>
      </c>
      <c r="P4" s="2" t="s">
        <v>4</v>
      </c>
    </row>
    <row r="5" spans="1:16" ht="27" customHeight="1" x14ac:dyDescent="0.3">
      <c r="A5" s="12"/>
      <c r="B5" s="2" t="s">
        <v>15</v>
      </c>
      <c r="C5" s="13" t="s">
        <v>16</v>
      </c>
      <c r="D5" s="13"/>
      <c r="E5" s="13"/>
      <c r="F5" s="13"/>
      <c r="G5" s="13"/>
      <c r="H5" s="13"/>
      <c r="I5" s="12"/>
      <c r="J5" s="2" t="s">
        <v>15</v>
      </c>
      <c r="K5" s="13" t="s">
        <v>4</v>
      </c>
      <c r="L5" s="13"/>
      <c r="M5" s="13"/>
      <c r="N5" s="13"/>
      <c r="O5" s="13"/>
      <c r="P5" s="13"/>
    </row>
    <row r="6" spans="1:16" ht="27" customHeight="1" x14ac:dyDescent="0.3">
      <c r="A6" s="12"/>
      <c r="B6" s="1" t="s">
        <v>17</v>
      </c>
      <c r="C6" s="13" t="s">
        <v>18</v>
      </c>
      <c r="D6" s="13"/>
      <c r="E6" s="13"/>
      <c r="F6" s="1" t="s">
        <v>19</v>
      </c>
      <c r="G6" s="13" t="s">
        <v>20</v>
      </c>
      <c r="H6" s="13"/>
      <c r="I6" s="12"/>
      <c r="J6" s="1" t="s">
        <v>17</v>
      </c>
      <c r="K6" s="10" t="s">
        <v>4</v>
      </c>
      <c r="L6" s="10"/>
      <c r="M6" s="10"/>
      <c r="N6" s="1" t="s">
        <v>19</v>
      </c>
      <c r="O6" s="10" t="s">
        <v>4</v>
      </c>
      <c r="P6" s="10"/>
    </row>
    <row r="7" spans="1:16" ht="6.95" customHeight="1" x14ac:dyDescent="0.3"/>
    <row r="8" spans="1:16" x14ac:dyDescent="0.3">
      <c r="A8" s="14" t="s">
        <v>21</v>
      </c>
      <c r="B8" s="14"/>
      <c r="C8" s="14" t="s">
        <v>22</v>
      </c>
      <c r="D8" s="14"/>
      <c r="E8" s="14"/>
      <c r="F8" s="4" t="s">
        <v>23</v>
      </c>
      <c r="G8" s="4" t="s">
        <v>24</v>
      </c>
      <c r="H8" s="4" t="s">
        <v>25</v>
      </c>
      <c r="I8" s="14" t="s">
        <v>26</v>
      </c>
      <c r="J8" s="14"/>
      <c r="K8" s="14"/>
      <c r="L8" s="14" t="s">
        <v>27</v>
      </c>
      <c r="M8" s="14"/>
      <c r="N8" s="14" t="s">
        <v>28</v>
      </c>
      <c r="O8" s="14"/>
      <c r="P8" s="4" t="s">
        <v>29</v>
      </c>
    </row>
    <row r="9" spans="1:16" x14ac:dyDescent="0.3">
      <c r="A9" s="14" t="s">
        <v>47</v>
      </c>
      <c r="B9" s="14"/>
      <c r="C9" s="14" t="s">
        <v>31</v>
      </c>
      <c r="D9" s="14"/>
      <c r="E9" s="14"/>
      <c r="F9" s="4" t="s">
        <v>32</v>
      </c>
      <c r="G9" s="4" t="s">
        <v>33</v>
      </c>
      <c r="H9" s="5">
        <v>86</v>
      </c>
      <c r="I9" s="15">
        <v>1979</v>
      </c>
      <c r="J9" s="15"/>
      <c r="K9" s="15"/>
      <c r="L9" s="15">
        <v>154722</v>
      </c>
      <c r="M9" s="15"/>
      <c r="N9" s="15">
        <v>15472</v>
      </c>
      <c r="O9" s="15"/>
      <c r="P9" s="6">
        <v>170194</v>
      </c>
    </row>
    <row r="10" spans="1:16" x14ac:dyDescent="0.3">
      <c r="A10" s="14" t="s">
        <v>48</v>
      </c>
      <c r="B10" s="14"/>
      <c r="C10" s="14" t="s">
        <v>36</v>
      </c>
      <c r="D10" s="14"/>
      <c r="E10" s="14"/>
      <c r="F10" s="4" t="s">
        <v>32</v>
      </c>
      <c r="G10" s="4" t="s">
        <v>33</v>
      </c>
      <c r="H10" s="5">
        <v>101</v>
      </c>
      <c r="I10" s="15">
        <v>1979</v>
      </c>
      <c r="J10" s="15"/>
      <c r="K10" s="15"/>
      <c r="L10" s="15">
        <v>181708</v>
      </c>
      <c r="M10" s="15"/>
      <c r="N10" s="15">
        <v>18171</v>
      </c>
      <c r="O10" s="15"/>
      <c r="P10" s="6">
        <v>199879</v>
      </c>
    </row>
    <row r="11" spans="1:16" x14ac:dyDescent="0.3">
      <c r="A11" s="14" t="s">
        <v>48</v>
      </c>
      <c r="B11" s="14"/>
      <c r="C11" s="14" t="s">
        <v>35</v>
      </c>
      <c r="D11" s="14"/>
      <c r="E11" s="14"/>
      <c r="F11" s="4" t="s">
        <v>32</v>
      </c>
      <c r="G11" s="4" t="s">
        <v>33</v>
      </c>
      <c r="H11" s="5">
        <v>173</v>
      </c>
      <c r="I11" s="15">
        <v>1979</v>
      </c>
      <c r="J11" s="15"/>
      <c r="K11" s="15"/>
      <c r="L11" s="15">
        <v>311243</v>
      </c>
      <c r="M11" s="15"/>
      <c r="N11" s="15">
        <v>31124</v>
      </c>
      <c r="O11" s="15"/>
      <c r="P11" s="6">
        <v>342367</v>
      </c>
    </row>
    <row r="12" spans="1:16" x14ac:dyDescent="0.3">
      <c r="A12" s="14" t="s">
        <v>49</v>
      </c>
      <c r="B12" s="14"/>
      <c r="C12" s="14" t="s">
        <v>36</v>
      </c>
      <c r="D12" s="14"/>
      <c r="E12" s="14"/>
      <c r="F12" s="4" t="s">
        <v>32</v>
      </c>
      <c r="G12" s="4" t="s">
        <v>33</v>
      </c>
      <c r="H12" s="5">
        <v>128</v>
      </c>
      <c r="I12" s="15">
        <v>1979</v>
      </c>
      <c r="J12" s="15"/>
      <c r="K12" s="15"/>
      <c r="L12" s="15">
        <v>230284</v>
      </c>
      <c r="M12" s="15"/>
      <c r="N12" s="15">
        <v>23028</v>
      </c>
      <c r="O12" s="15"/>
      <c r="P12" s="6">
        <v>253312</v>
      </c>
    </row>
    <row r="13" spans="1:16" x14ac:dyDescent="0.3">
      <c r="A13" s="14" t="s">
        <v>49</v>
      </c>
      <c r="B13" s="14"/>
      <c r="C13" s="14" t="s">
        <v>34</v>
      </c>
      <c r="D13" s="14"/>
      <c r="E13" s="14"/>
      <c r="F13" s="4" t="s">
        <v>32</v>
      </c>
      <c r="G13" s="4" t="s">
        <v>33</v>
      </c>
      <c r="H13" s="5">
        <v>228</v>
      </c>
      <c r="I13" s="15">
        <v>1979</v>
      </c>
      <c r="J13" s="15"/>
      <c r="K13" s="15"/>
      <c r="L13" s="15">
        <v>410193</v>
      </c>
      <c r="M13" s="15"/>
      <c r="N13" s="15">
        <v>41019</v>
      </c>
      <c r="O13" s="15"/>
      <c r="P13" s="6">
        <v>451212</v>
      </c>
    </row>
    <row r="14" spans="1:16" x14ac:dyDescent="0.3">
      <c r="A14" s="14" t="s">
        <v>50</v>
      </c>
      <c r="B14" s="14"/>
      <c r="C14" s="14" t="s">
        <v>31</v>
      </c>
      <c r="D14" s="14"/>
      <c r="E14" s="14"/>
      <c r="F14" s="4" t="s">
        <v>32</v>
      </c>
      <c r="G14" s="4" t="s">
        <v>33</v>
      </c>
      <c r="H14" s="5">
        <v>159</v>
      </c>
      <c r="I14" s="15">
        <v>1979</v>
      </c>
      <c r="J14" s="15"/>
      <c r="K14" s="15"/>
      <c r="L14" s="15">
        <v>286055</v>
      </c>
      <c r="M14" s="15"/>
      <c r="N14" s="15">
        <v>28606</v>
      </c>
      <c r="O14" s="15"/>
      <c r="P14" s="6">
        <v>314661</v>
      </c>
    </row>
    <row r="15" spans="1:16" x14ac:dyDescent="0.3">
      <c r="A15" s="14" t="s">
        <v>50</v>
      </c>
      <c r="B15" s="14"/>
      <c r="C15" s="14" t="s">
        <v>31</v>
      </c>
      <c r="D15" s="14"/>
      <c r="E15" s="14"/>
      <c r="F15" s="4" t="s">
        <v>32</v>
      </c>
      <c r="G15" s="4" t="s">
        <v>33</v>
      </c>
      <c r="H15" s="5">
        <v>82</v>
      </c>
      <c r="I15" s="15">
        <v>1979</v>
      </c>
      <c r="J15" s="15"/>
      <c r="K15" s="15"/>
      <c r="L15" s="15">
        <v>147525</v>
      </c>
      <c r="M15" s="15"/>
      <c r="N15" s="15">
        <v>14753</v>
      </c>
      <c r="O15" s="15"/>
      <c r="P15" s="6">
        <v>162278</v>
      </c>
    </row>
    <row r="16" spans="1:16" x14ac:dyDescent="0.3">
      <c r="A16" s="14" t="s">
        <v>50</v>
      </c>
      <c r="B16" s="14"/>
      <c r="C16" s="14" t="s">
        <v>36</v>
      </c>
      <c r="D16" s="14"/>
      <c r="E16" s="14"/>
      <c r="F16" s="4" t="s">
        <v>32</v>
      </c>
      <c r="G16" s="4" t="s">
        <v>33</v>
      </c>
      <c r="H16" s="5">
        <v>150</v>
      </c>
      <c r="I16" s="15">
        <v>1979</v>
      </c>
      <c r="J16" s="15"/>
      <c r="K16" s="15"/>
      <c r="L16" s="15">
        <v>269864</v>
      </c>
      <c r="M16" s="15"/>
      <c r="N16" s="15">
        <v>26986</v>
      </c>
      <c r="O16" s="15"/>
      <c r="P16" s="6">
        <v>296850</v>
      </c>
    </row>
    <row r="17" spans="1:16" x14ac:dyDescent="0.3">
      <c r="A17" s="14" t="s">
        <v>51</v>
      </c>
      <c r="B17" s="14"/>
      <c r="C17" s="14" t="s">
        <v>36</v>
      </c>
      <c r="D17" s="14"/>
      <c r="E17" s="14"/>
      <c r="F17" s="4" t="s">
        <v>32</v>
      </c>
      <c r="G17" s="4" t="s">
        <v>33</v>
      </c>
      <c r="H17" s="5">
        <v>125</v>
      </c>
      <c r="I17" s="15">
        <v>1979</v>
      </c>
      <c r="J17" s="15"/>
      <c r="K17" s="15"/>
      <c r="L17" s="15">
        <v>224886</v>
      </c>
      <c r="M17" s="15"/>
      <c r="N17" s="15">
        <v>22489</v>
      </c>
      <c r="O17" s="15"/>
      <c r="P17" s="6">
        <v>247375</v>
      </c>
    </row>
    <row r="18" spans="1:16" x14ac:dyDescent="0.3">
      <c r="A18" s="14" t="s">
        <v>51</v>
      </c>
      <c r="B18" s="14"/>
      <c r="C18" s="14" t="s">
        <v>34</v>
      </c>
      <c r="D18" s="14"/>
      <c r="E18" s="14"/>
      <c r="F18" s="4" t="s">
        <v>32</v>
      </c>
      <c r="G18" s="4" t="s">
        <v>33</v>
      </c>
      <c r="H18" s="5">
        <v>252</v>
      </c>
      <c r="I18" s="15">
        <v>1979</v>
      </c>
      <c r="J18" s="15"/>
      <c r="K18" s="15"/>
      <c r="L18" s="15">
        <v>453371</v>
      </c>
      <c r="M18" s="15"/>
      <c r="N18" s="15">
        <v>45337</v>
      </c>
      <c r="O18" s="15"/>
      <c r="P18" s="6">
        <v>498708</v>
      </c>
    </row>
    <row r="19" spans="1:16" x14ac:dyDescent="0.3">
      <c r="A19" s="14" t="s">
        <v>52</v>
      </c>
      <c r="B19" s="14"/>
      <c r="C19" s="14" t="s">
        <v>31</v>
      </c>
      <c r="D19" s="14"/>
      <c r="E19" s="14"/>
      <c r="F19" s="4" t="s">
        <v>32</v>
      </c>
      <c r="G19" s="4" t="s">
        <v>33</v>
      </c>
      <c r="H19" s="5">
        <v>85</v>
      </c>
      <c r="I19" s="15">
        <v>1979</v>
      </c>
      <c r="J19" s="15"/>
      <c r="K19" s="15"/>
      <c r="L19" s="15">
        <v>152923</v>
      </c>
      <c r="M19" s="15"/>
      <c r="N19" s="15">
        <v>15292</v>
      </c>
      <c r="O19" s="15"/>
      <c r="P19" s="6">
        <v>168215</v>
      </c>
    </row>
    <row r="20" spans="1:16" x14ac:dyDescent="0.3">
      <c r="A20" s="14" t="s">
        <v>53</v>
      </c>
      <c r="B20" s="14"/>
      <c r="C20" s="14" t="s">
        <v>36</v>
      </c>
      <c r="D20" s="14"/>
      <c r="E20" s="14"/>
      <c r="F20" s="4" t="s">
        <v>32</v>
      </c>
      <c r="G20" s="4" t="s">
        <v>33</v>
      </c>
      <c r="H20" s="5">
        <v>119</v>
      </c>
      <c r="I20" s="15">
        <v>1979</v>
      </c>
      <c r="J20" s="15"/>
      <c r="K20" s="15"/>
      <c r="L20" s="15">
        <v>214092</v>
      </c>
      <c r="M20" s="15"/>
      <c r="N20" s="15">
        <v>21409</v>
      </c>
      <c r="O20" s="15"/>
      <c r="P20" s="6">
        <v>235501</v>
      </c>
    </row>
    <row r="21" spans="1:16" x14ac:dyDescent="0.3">
      <c r="A21" s="14" t="s">
        <v>54</v>
      </c>
      <c r="B21" s="14"/>
      <c r="C21" s="14" t="s">
        <v>35</v>
      </c>
      <c r="D21" s="14"/>
      <c r="E21" s="14"/>
      <c r="F21" s="4" t="s">
        <v>32</v>
      </c>
      <c r="G21" s="4" t="s">
        <v>33</v>
      </c>
      <c r="H21" s="5">
        <v>139</v>
      </c>
      <c r="I21" s="15">
        <v>1979</v>
      </c>
      <c r="J21" s="15"/>
      <c r="K21" s="15"/>
      <c r="L21" s="15">
        <v>250074</v>
      </c>
      <c r="M21" s="15"/>
      <c r="N21" s="15">
        <v>25007</v>
      </c>
      <c r="O21" s="15"/>
      <c r="P21" s="6">
        <v>275081</v>
      </c>
    </row>
    <row r="22" spans="1:16" x14ac:dyDescent="0.3">
      <c r="A22" s="14" t="s">
        <v>54</v>
      </c>
      <c r="B22" s="14"/>
      <c r="C22" s="14" t="s">
        <v>36</v>
      </c>
      <c r="D22" s="14"/>
      <c r="E22" s="14"/>
      <c r="F22" s="4" t="s">
        <v>32</v>
      </c>
      <c r="G22" s="4" t="s">
        <v>33</v>
      </c>
      <c r="H22" s="5">
        <v>133</v>
      </c>
      <c r="I22" s="15">
        <v>1979</v>
      </c>
      <c r="J22" s="15"/>
      <c r="K22" s="15"/>
      <c r="L22" s="15">
        <v>239279</v>
      </c>
      <c r="M22" s="15"/>
      <c r="N22" s="15">
        <v>23928</v>
      </c>
      <c r="O22" s="15"/>
      <c r="P22" s="6">
        <v>263207</v>
      </c>
    </row>
    <row r="23" spans="1:16" x14ac:dyDescent="0.3">
      <c r="A23" s="14" t="s">
        <v>55</v>
      </c>
      <c r="B23" s="14"/>
      <c r="C23" s="14" t="s">
        <v>31</v>
      </c>
      <c r="D23" s="14"/>
      <c r="E23" s="14"/>
      <c r="F23" s="4" t="s">
        <v>32</v>
      </c>
      <c r="G23" s="4" t="s">
        <v>33</v>
      </c>
      <c r="H23" s="5">
        <v>64</v>
      </c>
      <c r="I23" s="15">
        <v>1979</v>
      </c>
      <c r="J23" s="15"/>
      <c r="K23" s="15"/>
      <c r="L23" s="15">
        <v>115142</v>
      </c>
      <c r="M23" s="15"/>
      <c r="N23" s="15">
        <v>11514</v>
      </c>
      <c r="O23" s="15"/>
      <c r="P23" s="6">
        <v>126656</v>
      </c>
    </row>
    <row r="24" spans="1:16" x14ac:dyDescent="0.3">
      <c r="A24" s="14" t="s">
        <v>56</v>
      </c>
      <c r="B24" s="14"/>
      <c r="C24" s="14" t="s">
        <v>36</v>
      </c>
      <c r="D24" s="14"/>
      <c r="E24" s="14"/>
      <c r="F24" s="4" t="s">
        <v>32</v>
      </c>
      <c r="G24" s="4" t="s">
        <v>33</v>
      </c>
      <c r="H24" s="5">
        <v>129</v>
      </c>
      <c r="I24" s="15">
        <v>1979</v>
      </c>
      <c r="J24" s="15"/>
      <c r="K24" s="15"/>
      <c r="L24" s="15">
        <v>232083</v>
      </c>
      <c r="M24" s="15"/>
      <c r="N24" s="15">
        <v>23208</v>
      </c>
      <c r="O24" s="15"/>
      <c r="P24" s="6">
        <v>255291</v>
      </c>
    </row>
    <row r="25" spans="1:16" x14ac:dyDescent="0.3">
      <c r="A25" s="14" t="s">
        <v>56</v>
      </c>
      <c r="B25" s="14"/>
      <c r="C25" s="14" t="s">
        <v>34</v>
      </c>
      <c r="D25" s="14"/>
      <c r="E25" s="14"/>
      <c r="F25" s="4" t="s">
        <v>32</v>
      </c>
      <c r="G25" s="4" t="s">
        <v>33</v>
      </c>
      <c r="H25" s="5">
        <v>247</v>
      </c>
      <c r="I25" s="15">
        <v>1979</v>
      </c>
      <c r="J25" s="15"/>
      <c r="K25" s="15"/>
      <c r="L25" s="15">
        <v>444375</v>
      </c>
      <c r="M25" s="15"/>
      <c r="N25" s="15">
        <v>44438</v>
      </c>
      <c r="O25" s="15"/>
      <c r="P25" s="6">
        <v>488813</v>
      </c>
    </row>
    <row r="26" spans="1:16" x14ac:dyDescent="0.3">
      <c r="A26" s="14" t="s">
        <v>56</v>
      </c>
      <c r="B26" s="14"/>
      <c r="C26" s="14" t="s">
        <v>35</v>
      </c>
      <c r="D26" s="14"/>
      <c r="E26" s="14"/>
      <c r="F26" s="4" t="s">
        <v>32</v>
      </c>
      <c r="G26" s="4" t="s">
        <v>33</v>
      </c>
      <c r="H26" s="5">
        <v>166</v>
      </c>
      <c r="I26" s="15">
        <v>1979</v>
      </c>
      <c r="J26" s="15"/>
      <c r="K26" s="15"/>
      <c r="L26" s="15">
        <v>298649</v>
      </c>
      <c r="M26" s="15"/>
      <c r="N26" s="15">
        <v>29865</v>
      </c>
      <c r="O26" s="15"/>
      <c r="P26" s="6">
        <v>328514</v>
      </c>
    </row>
    <row r="27" spans="1:16" x14ac:dyDescent="0.3">
      <c r="A27" s="14" t="s">
        <v>2</v>
      </c>
      <c r="B27" s="14"/>
      <c r="C27" s="14" t="s">
        <v>31</v>
      </c>
      <c r="D27" s="14"/>
      <c r="E27" s="14"/>
      <c r="F27" s="4" t="s">
        <v>32</v>
      </c>
      <c r="G27" s="4" t="s">
        <v>33</v>
      </c>
      <c r="H27" s="5">
        <v>80</v>
      </c>
      <c r="I27" s="15">
        <v>1979</v>
      </c>
      <c r="J27" s="15"/>
      <c r="K27" s="15"/>
      <c r="L27" s="15">
        <v>143927</v>
      </c>
      <c r="M27" s="15"/>
      <c r="N27" s="15">
        <v>14393</v>
      </c>
      <c r="O27" s="15"/>
      <c r="P27" s="6">
        <v>158320</v>
      </c>
    </row>
    <row r="28" spans="1:16" x14ac:dyDescent="0.3">
      <c r="A28" s="14" t="s">
        <v>2</v>
      </c>
      <c r="B28" s="14"/>
      <c r="C28" s="14" t="s">
        <v>36</v>
      </c>
      <c r="D28" s="14"/>
      <c r="E28" s="14"/>
      <c r="F28" s="4" t="s">
        <v>32</v>
      </c>
      <c r="G28" s="4" t="s">
        <v>33</v>
      </c>
      <c r="H28" s="5">
        <v>118</v>
      </c>
      <c r="I28" s="15">
        <v>1979</v>
      </c>
      <c r="J28" s="15"/>
      <c r="K28" s="15"/>
      <c r="L28" s="15">
        <v>212293</v>
      </c>
      <c r="M28" s="15"/>
      <c r="N28" s="15">
        <v>21229</v>
      </c>
      <c r="O28" s="15"/>
      <c r="P28" s="6">
        <v>233522</v>
      </c>
    </row>
    <row r="29" spans="1:16" x14ac:dyDescent="0.3">
      <c r="A29" s="14" t="s">
        <v>57</v>
      </c>
      <c r="B29" s="14"/>
      <c r="C29" s="14" t="s">
        <v>36</v>
      </c>
      <c r="D29" s="14"/>
      <c r="E29" s="14"/>
      <c r="F29" s="4" t="s">
        <v>32</v>
      </c>
      <c r="G29" s="4" t="s">
        <v>33</v>
      </c>
      <c r="H29" s="5">
        <v>123</v>
      </c>
      <c r="I29" s="15">
        <v>1979</v>
      </c>
      <c r="J29" s="15"/>
      <c r="K29" s="15"/>
      <c r="L29" s="15">
        <v>221288</v>
      </c>
      <c r="M29" s="15"/>
      <c r="N29" s="15">
        <v>22129</v>
      </c>
      <c r="O29" s="15"/>
      <c r="P29" s="6">
        <v>243417</v>
      </c>
    </row>
    <row r="30" spans="1:16" x14ac:dyDescent="0.3">
      <c r="A30" s="14" t="s">
        <v>57</v>
      </c>
      <c r="B30" s="14"/>
      <c r="C30" s="14" t="s">
        <v>35</v>
      </c>
      <c r="D30" s="14"/>
      <c r="E30" s="14"/>
      <c r="F30" s="4" t="s">
        <v>32</v>
      </c>
      <c r="G30" s="4" t="s">
        <v>33</v>
      </c>
      <c r="H30" s="5">
        <v>160</v>
      </c>
      <c r="I30" s="15">
        <v>1979</v>
      </c>
      <c r="J30" s="15"/>
      <c r="K30" s="15"/>
      <c r="L30" s="15">
        <v>287855</v>
      </c>
      <c r="M30" s="15"/>
      <c r="N30" s="15">
        <v>28785</v>
      </c>
      <c r="O30" s="15"/>
      <c r="P30" s="6">
        <v>316640</v>
      </c>
    </row>
    <row r="31" spans="1:16" x14ac:dyDescent="0.3">
      <c r="A31" s="14" t="s">
        <v>58</v>
      </c>
      <c r="B31" s="14"/>
      <c r="C31" s="14" t="s">
        <v>34</v>
      </c>
      <c r="D31" s="14"/>
      <c r="E31" s="14"/>
      <c r="F31" s="4" t="s">
        <v>32</v>
      </c>
      <c r="G31" s="4" t="s">
        <v>33</v>
      </c>
      <c r="H31" s="5">
        <v>220</v>
      </c>
      <c r="I31" s="15">
        <v>1979</v>
      </c>
      <c r="J31" s="15"/>
      <c r="K31" s="15"/>
      <c r="L31" s="15">
        <v>395800</v>
      </c>
      <c r="M31" s="15"/>
      <c r="N31" s="15">
        <v>39580</v>
      </c>
      <c r="O31" s="15"/>
      <c r="P31" s="6">
        <v>435380</v>
      </c>
    </row>
    <row r="32" spans="1:16" x14ac:dyDescent="0.3">
      <c r="A32" s="14" t="s">
        <v>58</v>
      </c>
      <c r="B32" s="14"/>
      <c r="C32" s="14" t="s">
        <v>36</v>
      </c>
      <c r="D32" s="14"/>
      <c r="E32" s="14"/>
      <c r="F32" s="4" t="s">
        <v>32</v>
      </c>
      <c r="G32" s="4" t="s">
        <v>33</v>
      </c>
      <c r="H32" s="5">
        <v>120</v>
      </c>
      <c r="I32" s="15">
        <v>1979</v>
      </c>
      <c r="J32" s="15"/>
      <c r="K32" s="15"/>
      <c r="L32" s="15">
        <v>215891</v>
      </c>
      <c r="M32" s="15"/>
      <c r="N32" s="15">
        <v>21589</v>
      </c>
      <c r="O32" s="15"/>
      <c r="P32" s="6">
        <v>237480</v>
      </c>
    </row>
    <row r="33" spans="1:16" ht="17.25" customHeight="1" x14ac:dyDescent="0.3">
      <c r="A33" s="16" t="s">
        <v>59</v>
      </c>
      <c r="B33" s="16"/>
      <c r="C33" s="16"/>
      <c r="D33" s="16"/>
      <c r="E33" s="16"/>
      <c r="F33" s="16"/>
      <c r="G33" s="16"/>
      <c r="H33" s="7">
        <v>6695</v>
      </c>
      <c r="I33" s="16" t="s">
        <v>4</v>
      </c>
      <c r="J33" s="16"/>
      <c r="K33" s="16"/>
      <c r="L33" s="17">
        <f>SUM(L9:M32)</f>
        <v>6093522</v>
      </c>
      <c r="M33" s="17"/>
      <c r="N33" s="17">
        <f>SUM(N9:O32)</f>
        <v>609351</v>
      </c>
      <c r="O33" s="17"/>
      <c r="P33" s="8">
        <f>SUM(P9:Q32)</f>
        <v>6702873</v>
      </c>
    </row>
  </sheetData>
  <mergeCells count="146">
    <mergeCell ref="A33:G33"/>
    <mergeCell ref="I33:K33"/>
    <mergeCell ref="L33:M33"/>
    <mergeCell ref="N33:O33"/>
    <mergeCell ref="A31:B31"/>
    <mergeCell ref="C31:E31"/>
    <mergeCell ref="I31:K31"/>
    <mergeCell ref="L31:M31"/>
    <mergeCell ref="N31:O31"/>
    <mergeCell ref="A32:B32"/>
    <mergeCell ref="C32:E32"/>
    <mergeCell ref="I32:K32"/>
    <mergeCell ref="L32:M32"/>
    <mergeCell ref="N32:O32"/>
    <mergeCell ref="A29:B29"/>
    <mergeCell ref="C29:E29"/>
    <mergeCell ref="I29:K29"/>
    <mergeCell ref="L29:M29"/>
    <mergeCell ref="N29:O29"/>
    <mergeCell ref="A30:B30"/>
    <mergeCell ref="C30:E30"/>
    <mergeCell ref="I30:K30"/>
    <mergeCell ref="L30:M30"/>
    <mergeCell ref="N30:O30"/>
    <mergeCell ref="A27:B27"/>
    <mergeCell ref="C27:E27"/>
    <mergeCell ref="I27:K27"/>
    <mergeCell ref="L27:M27"/>
    <mergeCell ref="N27:O27"/>
    <mergeCell ref="A28:B28"/>
    <mergeCell ref="C28:E28"/>
    <mergeCell ref="I28:K28"/>
    <mergeCell ref="L28:M28"/>
    <mergeCell ref="N28:O28"/>
    <mergeCell ref="A25:B25"/>
    <mergeCell ref="C25:E25"/>
    <mergeCell ref="I25:K25"/>
    <mergeCell ref="L25:M25"/>
    <mergeCell ref="N25:O25"/>
    <mergeCell ref="A26:B26"/>
    <mergeCell ref="C26:E26"/>
    <mergeCell ref="I26:K26"/>
    <mergeCell ref="L26:M26"/>
    <mergeCell ref="N26:O26"/>
    <mergeCell ref="A23:B23"/>
    <mergeCell ref="C23:E23"/>
    <mergeCell ref="I23:K23"/>
    <mergeCell ref="L23:M23"/>
    <mergeCell ref="N23:O23"/>
    <mergeCell ref="A24:B24"/>
    <mergeCell ref="C24:E24"/>
    <mergeCell ref="I24:K24"/>
    <mergeCell ref="L24:M24"/>
    <mergeCell ref="N24:O24"/>
    <mergeCell ref="A21:B21"/>
    <mergeCell ref="C21:E21"/>
    <mergeCell ref="I21:K21"/>
    <mergeCell ref="L21:M21"/>
    <mergeCell ref="N21:O21"/>
    <mergeCell ref="A22:B22"/>
    <mergeCell ref="C22:E22"/>
    <mergeCell ref="I22:K22"/>
    <mergeCell ref="L22:M22"/>
    <mergeCell ref="N22:O22"/>
    <mergeCell ref="A19:B19"/>
    <mergeCell ref="C19:E19"/>
    <mergeCell ref="I19:K19"/>
    <mergeCell ref="L19:M19"/>
    <mergeCell ref="N19:O19"/>
    <mergeCell ref="A20:B20"/>
    <mergeCell ref="C20:E20"/>
    <mergeCell ref="I20:K20"/>
    <mergeCell ref="L20:M20"/>
    <mergeCell ref="N20:O20"/>
    <mergeCell ref="A17:B17"/>
    <mergeCell ref="C17:E17"/>
    <mergeCell ref="I17:K17"/>
    <mergeCell ref="L17:M17"/>
    <mergeCell ref="N17:O17"/>
    <mergeCell ref="A18:B18"/>
    <mergeCell ref="C18:E18"/>
    <mergeCell ref="I18:K18"/>
    <mergeCell ref="L18:M18"/>
    <mergeCell ref="N18:O18"/>
    <mergeCell ref="A15:B15"/>
    <mergeCell ref="C15:E15"/>
    <mergeCell ref="I15:K15"/>
    <mergeCell ref="L15:M15"/>
    <mergeCell ref="N15:O15"/>
    <mergeCell ref="A16:B16"/>
    <mergeCell ref="C16:E16"/>
    <mergeCell ref="I16:K16"/>
    <mergeCell ref="L16:M16"/>
    <mergeCell ref="N16:O16"/>
    <mergeCell ref="A13:B13"/>
    <mergeCell ref="C13:E13"/>
    <mergeCell ref="I13:K13"/>
    <mergeCell ref="L13:M13"/>
    <mergeCell ref="N13:O13"/>
    <mergeCell ref="A14:B14"/>
    <mergeCell ref="C14:E14"/>
    <mergeCell ref="I14:K14"/>
    <mergeCell ref="L14:M14"/>
    <mergeCell ref="N14:O14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8:B8"/>
    <mergeCell ref="C8:E8"/>
    <mergeCell ref="I8:K8"/>
    <mergeCell ref="L8:M8"/>
    <mergeCell ref="N8:O8"/>
    <mergeCell ref="K4:N4"/>
    <mergeCell ref="C5:H5"/>
    <mergeCell ref="K5:P5"/>
    <mergeCell ref="C6:E6"/>
    <mergeCell ref="G6:H6"/>
    <mergeCell ref="K6:M6"/>
    <mergeCell ref="O6:P6"/>
    <mergeCell ref="A1:L2"/>
    <mergeCell ref="M1:N1"/>
    <mergeCell ref="O1:P1"/>
    <mergeCell ref="M2:N2"/>
    <mergeCell ref="O2:P2"/>
    <mergeCell ref="A3:A6"/>
    <mergeCell ref="C3:H3"/>
    <mergeCell ref="I3:I6"/>
    <mergeCell ref="K3:P3"/>
    <mergeCell ref="C4:F4"/>
  </mergeCells>
  <phoneticPr fontId="6" type="noConversion"/>
  <pageMargins left="0.7" right="0.7" top="0.75" bottom="0.75" header="0.3" footer="0.3"/>
  <pageSetup paperSize="9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거래명세서</vt:lpstr>
      <vt:lpstr>1일-15일</vt:lpstr>
      <vt:lpstr>16일-30일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2026-06-03T03:43:06Z</dcterms:created>
  <dcterms:modified xsi:type="dcterms:W3CDTF">2026-06-03T03:50:32Z</dcterms:modified>
  <cp:category/>
</cp:coreProperties>
</file>