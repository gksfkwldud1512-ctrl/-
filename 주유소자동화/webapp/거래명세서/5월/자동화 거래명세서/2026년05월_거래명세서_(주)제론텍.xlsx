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0E6845C1-7BD5-48CB-AFDD-4C830B5F3E19}" xr6:coauthVersionLast="47" xr6:coauthVersionMax="47" xr10:uidLastSave="{00000000-0000-0000-0000-000000000000}"/>
  <bookViews>
    <workbookView xWindow="10230" yWindow="1785" windowWidth="14010" windowHeight="13740" xr2:uid="{00000000-000D-0000-FFFF-FFFF00000000}"/>
  </bookViews>
  <sheets>
    <sheet name="거래명세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63" i="1" l="1"/>
  <c r="N62" i="1"/>
  <c r="L63" i="1"/>
  <c r="L62" i="1"/>
  <c r="P63" i="1"/>
  <c r="P62" i="1"/>
  <c r="H63" i="1"/>
  <c r="H62" i="1"/>
  <c r="P59" i="1"/>
  <c r="N59" i="1"/>
  <c r="L59" i="1"/>
  <c r="H59" i="1"/>
  <c r="N57" i="1"/>
  <c r="L57" i="1"/>
  <c r="P57" i="1"/>
</calcChain>
</file>

<file path=xl/sharedStrings.xml><?xml version="1.0" encoding="utf-8"?>
<sst xmlns="http://schemas.openxmlformats.org/spreadsheetml/2006/main" count="239" uniqueCount="73">
  <si>
    <t>거 래 명 세 서(공급받는자용)</t>
  </si>
  <si>
    <t>작성일자</t>
  </si>
  <si>
    <t>2026/05/28</t>
  </si>
  <si>
    <t>일련번호</t>
  </si>
  <si>
    <t/>
  </si>
  <si>
    <t>공
급
자</t>
  </si>
  <si>
    <t>등   록
번   호</t>
  </si>
  <si>
    <t>303-81-64391</t>
  </si>
  <si>
    <t>공
급
받
는
자</t>
  </si>
  <si>
    <t>303-81-51372</t>
  </si>
  <si>
    <t>상   호
법인명</t>
  </si>
  <si>
    <t>(주)미소주유소</t>
  </si>
  <si>
    <t>성명</t>
  </si>
  <si>
    <t>신정자</t>
  </si>
  <si>
    <t>(주)제론텍</t>
  </si>
  <si>
    <t>사업장
주   소</t>
  </si>
  <si>
    <t xml:space="preserve">충북 음성군 대소면 대금로 199  </t>
  </si>
  <si>
    <t>업   태</t>
  </si>
  <si>
    <t>도매및소매업</t>
  </si>
  <si>
    <t>종   목</t>
  </si>
  <si>
    <t>주유소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</si>
  <si>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</si>
  <si>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</si>
  <si>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</si>
  <si>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</si>
  <si>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</si>
  <si>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</si>
  <si>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</si>
  <si>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</si>
  <si>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</si>
  <si>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2026/05/01</t>
  </si>
  <si>
    <t>1778407</t>
  </si>
  <si>
    <t>경유</t>
  </si>
  <si>
    <t>L</t>
  </si>
  <si>
    <t>2026/05/06</t>
  </si>
  <si>
    <t>2026/05/12</t>
  </si>
  <si>
    <t>2026/05/18</t>
  </si>
  <si>
    <t>2026/05/22</t>
  </si>
  <si>
    <t>2026/05/29</t>
  </si>
  <si>
    <t>1778407 계</t>
  </si>
  <si>
    <t>1779952</t>
  </si>
  <si>
    <t>2026/05/07</t>
  </si>
  <si>
    <t>2026/05/15</t>
  </si>
  <si>
    <t>2026/05/20</t>
  </si>
  <si>
    <t>1779952 계</t>
  </si>
  <si>
    <t>2026/05/08</t>
  </si>
  <si>
    <t>1794130</t>
  </si>
  <si>
    <t>휘발유</t>
  </si>
  <si>
    <t>2026/05/19</t>
  </si>
  <si>
    <t>1794130 계</t>
  </si>
  <si>
    <t>1795315</t>
  </si>
  <si>
    <t>1795315 계</t>
  </si>
  <si>
    <t>1949900</t>
  </si>
  <si>
    <t>2026/05/27</t>
  </si>
  <si>
    <t>1949900 계</t>
  </si>
  <si>
    <t>2223867</t>
  </si>
  <si>
    <t>2026/05/14</t>
  </si>
  <si>
    <t>2026/05/21</t>
  </si>
  <si>
    <t>2026/05/26</t>
  </si>
  <si>
    <t>2223867 계</t>
  </si>
  <si>
    <t>2026/05/04</t>
  </si>
  <si>
    <t>2319030</t>
  </si>
  <si>
    <t>2319030 계</t>
  </si>
  <si>
    <t>2805995</t>
  </si>
  <si>
    <t>2805995 계</t>
  </si>
  <si>
    <t>배달</t>
  </si>
  <si>
    <t>배달 계</t>
  </si>
  <si>
    <t>총합계</t>
  </si>
  <si>
    <t>할인금액</t>
    <phoneticPr fontId="7" type="noConversion"/>
  </si>
  <si>
    <t>최종금액 할인포함</t>
    <phoneticPr fontId="7" type="noConversion"/>
  </si>
  <si>
    <t>계산서 발행</t>
    <phoneticPr fontId="7" type="noConversion"/>
  </si>
  <si>
    <t>지게차+3592+말통</t>
    <phoneticPr fontId="7" type="noConversion"/>
  </si>
  <si>
    <t>차량+유외상품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</si>
</sst>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b/>
      <sz val="20"/>
      <name val="맑은 고딕"/>
      <family val="2"/>
      <charset val="129"/>
      <scheme val="minor"/>
    </font>
    <font>
      <sz val="9"/>
      <name val="맑은 고딕"/>
      <family val="2"/>
      <charset val="129"/>
      <scheme val="minor"/>
    </font>
    <font>
      <b/>
      <sz val="14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8" fillId="0" borderId="0" xfId="0" applyFont="1"/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3" fontId="6" fillId="0" borderId="2" xfId="0" applyNumberFormat="1" applyFont="1" applyBorder="1" applyAlignment="1">
      <alignment horizontal="right" vertical="center"/>
    </xf>
    <xf numFmtId="3" fontId="6" fillId="0" borderId="3" xfId="0" applyNumberFormat="1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63"/>
  <sheetViews>
    <sheetView tabSelected="1" topLeftCell="A37" workbookViewId="0">
      <selection activeCell="Q43" sqref="Q43"/>
    </sheetView>
  </sheetViews>
  <sheetFormatPr defaultRowHeight="16.5" x14ac:dyDescent="0.3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spans="1:16" ht="18" customHeight="1" x14ac:dyDescent="0.3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7" t="s">
        <v>1</v>
      </c>
      <c r="N1" s="17"/>
      <c r="O1" s="17" t="s">
        <v>2</v>
      </c>
      <c r="P1" s="17"/>
    </row>
    <row r="2" spans="1:16" ht="18" customHeight="1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 t="s">
        <v>3</v>
      </c>
      <c r="N2" s="17"/>
      <c r="O2" s="17" t="s">
        <v>4</v>
      </c>
      <c r="P2" s="17"/>
    </row>
    <row r="3" spans="1:16" ht="27" customHeight="1" x14ac:dyDescent="0.3">
      <c r="A3" s="19" t="s">
        <v>5</v>
      </c>
      <c r="B3" s="2" t="s">
        <v>6</v>
      </c>
      <c r="C3" s="18" t="s">
        <v>7</v>
      </c>
      <c r="D3" s="18"/>
      <c r="E3" s="18"/>
      <c r="F3" s="18"/>
      <c r="G3" s="18"/>
      <c r="H3" s="18"/>
      <c r="I3" s="19" t="s">
        <v>8</v>
      </c>
      <c r="J3" s="2" t="s">
        <v>6</v>
      </c>
      <c r="K3" s="18" t="s">
        <v>9</v>
      </c>
      <c r="L3" s="18"/>
      <c r="M3" s="18"/>
      <c r="N3" s="18"/>
      <c r="O3" s="18"/>
      <c r="P3" s="18"/>
    </row>
    <row r="4" spans="1:16" ht="27" customHeight="1" x14ac:dyDescent="0.3">
      <c r="A4" s="19"/>
      <c r="B4" s="2" t="s">
        <v>10</v>
      </c>
      <c r="C4" s="20" t="s">
        <v>11</v>
      </c>
      <c r="D4" s="20"/>
      <c r="E4" s="20"/>
      <c r="F4" s="20"/>
      <c r="G4" s="1" t="s">
        <v>12</v>
      </c>
      <c r="H4" s="3" t="s">
        <v>13</v>
      </c>
      <c r="I4" s="19"/>
      <c r="J4" s="2" t="s">
        <v>10</v>
      </c>
      <c r="K4" s="20" t="s">
        <v>14</v>
      </c>
      <c r="L4" s="20"/>
      <c r="M4" s="20"/>
      <c r="N4" s="20"/>
      <c r="O4" s="1" t="s">
        <v>12</v>
      </c>
      <c r="P4" s="2" t="s">
        <v>4</v>
      </c>
    </row>
    <row r="5" spans="1:16" ht="27" customHeight="1" x14ac:dyDescent="0.3">
      <c r="A5" s="19"/>
      <c r="B5" s="2" t="s">
        <v>15</v>
      </c>
      <c r="C5" s="20" t="s">
        <v>16</v>
      </c>
      <c r="D5" s="20"/>
      <c r="E5" s="20"/>
      <c r="F5" s="20"/>
      <c r="G5" s="20"/>
      <c r="H5" s="20"/>
      <c r="I5" s="19"/>
      <c r="J5" s="2" t="s">
        <v>15</v>
      </c>
      <c r="K5" s="20" t="s">
        <v>4</v>
      </c>
      <c r="L5" s="20"/>
      <c r="M5" s="20"/>
      <c r="N5" s="20"/>
      <c r="O5" s="20"/>
      <c r="P5" s="20"/>
    </row>
    <row r="6" spans="1:16" ht="27" customHeight="1" x14ac:dyDescent="0.3">
      <c r="A6" s="19"/>
      <c r="B6" s="1" t="s">
        <v>17</v>
      </c>
      <c r="C6" s="20" t="s">
        <v>18</v>
      </c>
      <c r="D6" s="20"/>
      <c r="E6" s="20"/>
      <c r="F6" s="1" t="s">
        <v>19</v>
      </c>
      <c r="G6" s="20" t="s">
        <v>20</v>
      </c>
      <c r="H6" s="20"/>
      <c r="I6" s="19"/>
      <c r="J6" s="1" t="s">
        <v>17</v>
      </c>
      <c r="K6" s="17" t="s">
        <v>4</v>
      </c>
      <c r="L6" s="17"/>
      <c r="M6" s="17"/>
      <c r="N6" s="1" t="s">
        <v>19</v>
      </c>
      <c r="O6" s="17" t="s">
        <v>4</v>
      </c>
      <c r="P6" s="17"/>
    </row>
    <row r="7" spans="1:16" ht="6.95" customHeight="1" x14ac:dyDescent="0.3"/>
    <row r="8" spans="1:16" x14ac:dyDescent="0.3">
      <c r="A8" s="21" t="s">
        <v>21</v>
      </c>
      <c r="B8" s="21"/>
      <c r="C8" s="21" t="s">
        <v>22</v>
      </c>
      <c r="D8" s="21"/>
      <c r="E8" s="21"/>
      <c r="F8" s="4" t="s">
        <v>23</v>
      </c>
      <c r="G8" s="4" t="s">
        <v>24</v>
      </c>
      <c r="H8" s="4" t="s">
        <v>25</v>
      </c>
      <c r="I8" s="21" t="s">
        <v>26</v>
      </c>
      <c r="J8" s="21"/>
      <c r="K8" s="21"/>
      <c r="L8" s="21" t="s">
        <v>27</v>
      </c>
      <c r="M8" s="21"/>
      <c r="N8" s="21" t="s">
        <v>28</v>
      </c>
      <c r="O8" s="21"/>
      <c r="P8" s="4" t="s">
        <v>29</v>
      </c>
    </row>
    <row r="9" spans="1:16" x14ac:dyDescent="0.3">
      <c r="A9" s="21" t="s">
        <v>30</v>
      </c>
      <c r="B9" s="21"/>
      <c r="C9" s="21" t="s">
        <v>31</v>
      </c>
      <c r="D9" s="21"/>
      <c r="E9" s="21"/>
      <c r="F9" s="4" t="s">
        <v>32</v>
      </c>
      <c r="G9" s="4" t="s">
        <v>33</v>
      </c>
      <c r="H9" s="5">
        <v>21</v>
      </c>
      <c r="I9" s="22">
        <v>2044</v>
      </c>
      <c r="J9" s="22"/>
      <c r="K9" s="22"/>
      <c r="L9" s="22">
        <v>39091</v>
      </c>
      <c r="M9" s="22"/>
      <c r="N9" s="22">
        <v>3909</v>
      </c>
      <c r="O9" s="22"/>
      <c r="P9" s="6">
        <v>43000</v>
      </c>
    </row>
    <row r="10" spans="1:16" x14ac:dyDescent="0.3">
      <c r="A10" s="21" t="s">
        <v>34</v>
      </c>
      <c r="B10" s="21"/>
      <c r="C10" s="21" t="s">
        <v>31</v>
      </c>
      <c r="D10" s="21"/>
      <c r="E10" s="21"/>
      <c r="F10" s="4" t="s">
        <v>32</v>
      </c>
      <c r="G10" s="4" t="s">
        <v>33</v>
      </c>
      <c r="H10" s="5">
        <v>46</v>
      </c>
      <c r="I10" s="22">
        <v>2044</v>
      </c>
      <c r="J10" s="22"/>
      <c r="K10" s="22"/>
      <c r="L10" s="22">
        <v>87273</v>
      </c>
      <c r="M10" s="22"/>
      <c r="N10" s="22">
        <v>8727</v>
      </c>
      <c r="O10" s="22"/>
      <c r="P10" s="6">
        <v>96000</v>
      </c>
    </row>
    <row r="11" spans="1:16" x14ac:dyDescent="0.3">
      <c r="A11" s="21" t="s">
        <v>35</v>
      </c>
      <c r="B11" s="21"/>
      <c r="C11" s="21" t="s">
        <v>31</v>
      </c>
      <c r="D11" s="21"/>
      <c r="E11" s="21"/>
      <c r="F11" s="4" t="s">
        <v>32</v>
      </c>
      <c r="G11" s="4" t="s">
        <v>33</v>
      </c>
      <c r="H11" s="5">
        <v>41</v>
      </c>
      <c r="I11" s="22">
        <v>2049</v>
      </c>
      <c r="J11" s="22"/>
      <c r="K11" s="22"/>
      <c r="L11" s="22">
        <v>78182</v>
      </c>
      <c r="M11" s="22"/>
      <c r="N11" s="22">
        <v>7818</v>
      </c>
      <c r="O11" s="22"/>
      <c r="P11" s="6">
        <v>86000</v>
      </c>
    </row>
    <row r="12" spans="1:16" x14ac:dyDescent="0.3">
      <c r="A12" s="21" t="s">
        <v>36</v>
      </c>
      <c r="B12" s="21"/>
      <c r="C12" s="21" t="s">
        <v>31</v>
      </c>
      <c r="D12" s="21"/>
      <c r="E12" s="21"/>
      <c r="F12" s="4" t="s">
        <v>32</v>
      </c>
      <c r="G12" s="4" t="s">
        <v>33</v>
      </c>
      <c r="H12" s="5">
        <v>43</v>
      </c>
      <c r="I12" s="22">
        <v>2049</v>
      </c>
      <c r="J12" s="22"/>
      <c r="K12" s="22"/>
      <c r="L12" s="22">
        <v>81818</v>
      </c>
      <c r="M12" s="22"/>
      <c r="N12" s="22">
        <v>8182</v>
      </c>
      <c r="O12" s="22"/>
      <c r="P12" s="6">
        <v>90000</v>
      </c>
    </row>
    <row r="13" spans="1:16" x14ac:dyDescent="0.3">
      <c r="A13" s="21" t="s">
        <v>37</v>
      </c>
      <c r="B13" s="21"/>
      <c r="C13" s="21" t="s">
        <v>31</v>
      </c>
      <c r="D13" s="21"/>
      <c r="E13" s="21"/>
      <c r="F13" s="4" t="s">
        <v>32</v>
      </c>
      <c r="G13" s="4" t="s">
        <v>33</v>
      </c>
      <c r="H13" s="5">
        <v>43</v>
      </c>
      <c r="I13" s="22">
        <v>2049</v>
      </c>
      <c r="J13" s="22"/>
      <c r="K13" s="22"/>
      <c r="L13" s="22">
        <v>81818</v>
      </c>
      <c r="M13" s="22"/>
      <c r="N13" s="22">
        <v>8182</v>
      </c>
      <c r="O13" s="22"/>
      <c r="P13" s="6">
        <v>90000</v>
      </c>
    </row>
    <row r="14" spans="1:16" x14ac:dyDescent="0.3">
      <c r="A14" s="21" t="s">
        <v>38</v>
      </c>
      <c r="B14" s="21"/>
      <c r="C14" s="21" t="s">
        <v>31</v>
      </c>
      <c r="D14" s="21"/>
      <c r="E14" s="21"/>
      <c r="F14" s="4" t="s">
        <v>32</v>
      </c>
      <c r="G14" s="4" t="s">
        <v>33</v>
      </c>
      <c r="H14" s="5">
        <v>49</v>
      </c>
      <c r="I14" s="22">
        <v>2049</v>
      </c>
      <c r="J14" s="22"/>
      <c r="K14" s="22"/>
      <c r="L14" s="22">
        <v>91818</v>
      </c>
      <c r="M14" s="22"/>
      <c r="N14" s="22">
        <v>9182</v>
      </c>
      <c r="O14" s="22"/>
      <c r="P14" s="6">
        <v>101000</v>
      </c>
    </row>
    <row r="15" spans="1:16" x14ac:dyDescent="0.3">
      <c r="A15" s="21" t="s">
        <v>4</v>
      </c>
      <c r="B15" s="21"/>
      <c r="C15" s="21" t="s">
        <v>4</v>
      </c>
      <c r="D15" s="21"/>
      <c r="E15" s="21"/>
      <c r="F15" s="7" t="s">
        <v>39</v>
      </c>
      <c r="G15" s="7" t="s">
        <v>33</v>
      </c>
      <c r="H15" s="8">
        <v>243</v>
      </c>
      <c r="I15" s="23">
        <v>0</v>
      </c>
      <c r="J15" s="23"/>
      <c r="K15" s="23"/>
      <c r="L15" s="24">
        <v>460000</v>
      </c>
      <c r="M15" s="24"/>
      <c r="N15" s="24">
        <v>46000</v>
      </c>
      <c r="O15" s="24"/>
      <c r="P15" s="9">
        <v>506000</v>
      </c>
    </row>
    <row r="16" spans="1:16" x14ac:dyDescent="0.3">
      <c r="A16" s="21" t="s">
        <v>30</v>
      </c>
      <c r="B16" s="21"/>
      <c r="C16" s="21" t="s">
        <v>40</v>
      </c>
      <c r="D16" s="21"/>
      <c r="E16" s="21"/>
      <c r="F16" s="4" t="s">
        <v>32</v>
      </c>
      <c r="G16" s="4" t="s">
        <v>33</v>
      </c>
      <c r="H16" s="5">
        <v>43</v>
      </c>
      <c r="I16" s="22">
        <v>2044</v>
      </c>
      <c r="J16" s="22"/>
      <c r="K16" s="22"/>
      <c r="L16" s="22">
        <v>80000</v>
      </c>
      <c r="M16" s="22"/>
      <c r="N16" s="22">
        <v>8000</v>
      </c>
      <c r="O16" s="22"/>
      <c r="P16" s="6">
        <v>88000</v>
      </c>
    </row>
    <row r="17" spans="1:16" x14ac:dyDescent="0.3">
      <c r="A17" s="21" t="s">
        <v>41</v>
      </c>
      <c r="B17" s="21"/>
      <c r="C17" s="21" t="s">
        <v>40</v>
      </c>
      <c r="D17" s="21"/>
      <c r="E17" s="21"/>
      <c r="F17" s="4" t="s">
        <v>32</v>
      </c>
      <c r="G17" s="4" t="s">
        <v>33</v>
      </c>
      <c r="H17" s="5">
        <v>48</v>
      </c>
      <c r="I17" s="22">
        <v>2044</v>
      </c>
      <c r="J17" s="22"/>
      <c r="K17" s="22"/>
      <c r="L17" s="22">
        <v>90909</v>
      </c>
      <c r="M17" s="22"/>
      <c r="N17" s="22">
        <v>9091</v>
      </c>
      <c r="O17" s="22"/>
      <c r="P17" s="6">
        <v>100000</v>
      </c>
    </row>
    <row r="18" spans="1:16" x14ac:dyDescent="0.3">
      <c r="A18" s="21" t="s">
        <v>35</v>
      </c>
      <c r="B18" s="21"/>
      <c r="C18" s="21" t="s">
        <v>40</v>
      </c>
      <c r="D18" s="21"/>
      <c r="E18" s="21"/>
      <c r="F18" s="4" t="s">
        <v>32</v>
      </c>
      <c r="G18" s="4" t="s">
        <v>33</v>
      </c>
      <c r="H18" s="5">
        <v>33</v>
      </c>
      <c r="I18" s="22">
        <v>2049</v>
      </c>
      <c r="J18" s="22"/>
      <c r="K18" s="22"/>
      <c r="L18" s="22">
        <v>61818</v>
      </c>
      <c r="M18" s="22"/>
      <c r="N18" s="22">
        <v>6182</v>
      </c>
      <c r="O18" s="22"/>
      <c r="P18" s="6">
        <v>68000</v>
      </c>
    </row>
    <row r="19" spans="1:16" x14ac:dyDescent="0.3">
      <c r="A19" s="21" t="s">
        <v>42</v>
      </c>
      <c r="B19" s="21"/>
      <c r="C19" s="21" t="s">
        <v>40</v>
      </c>
      <c r="D19" s="21"/>
      <c r="E19" s="21"/>
      <c r="F19" s="4" t="s">
        <v>32</v>
      </c>
      <c r="G19" s="4" t="s">
        <v>33</v>
      </c>
      <c r="H19" s="5">
        <v>41</v>
      </c>
      <c r="I19" s="22">
        <v>2049</v>
      </c>
      <c r="J19" s="22"/>
      <c r="K19" s="22"/>
      <c r="L19" s="22">
        <v>76364</v>
      </c>
      <c r="M19" s="22"/>
      <c r="N19" s="22">
        <v>7636</v>
      </c>
      <c r="O19" s="22"/>
      <c r="P19" s="6">
        <v>84000</v>
      </c>
    </row>
    <row r="20" spans="1:16" x14ac:dyDescent="0.3">
      <c r="A20" s="21" t="s">
        <v>43</v>
      </c>
      <c r="B20" s="21"/>
      <c r="C20" s="21" t="s">
        <v>40</v>
      </c>
      <c r="D20" s="21"/>
      <c r="E20" s="21"/>
      <c r="F20" s="4" t="s">
        <v>32</v>
      </c>
      <c r="G20" s="4" t="s">
        <v>33</v>
      </c>
      <c r="H20" s="5">
        <v>48</v>
      </c>
      <c r="I20" s="22">
        <v>2049</v>
      </c>
      <c r="J20" s="22"/>
      <c r="K20" s="22"/>
      <c r="L20" s="22">
        <v>90909</v>
      </c>
      <c r="M20" s="22"/>
      <c r="N20" s="22">
        <v>9091</v>
      </c>
      <c r="O20" s="22"/>
      <c r="P20" s="6">
        <v>100000</v>
      </c>
    </row>
    <row r="21" spans="1:16" x14ac:dyDescent="0.3">
      <c r="A21" s="21" t="s">
        <v>2</v>
      </c>
      <c r="B21" s="21"/>
      <c r="C21" s="21" t="s">
        <v>40</v>
      </c>
      <c r="D21" s="21"/>
      <c r="E21" s="21"/>
      <c r="F21" s="4" t="s">
        <v>32</v>
      </c>
      <c r="G21" s="4" t="s">
        <v>33</v>
      </c>
      <c r="H21" s="5">
        <v>45</v>
      </c>
      <c r="I21" s="22">
        <v>2049</v>
      </c>
      <c r="J21" s="22"/>
      <c r="K21" s="22"/>
      <c r="L21" s="22">
        <v>85455</v>
      </c>
      <c r="M21" s="22"/>
      <c r="N21" s="22">
        <v>8545</v>
      </c>
      <c r="O21" s="22"/>
      <c r="P21" s="6">
        <v>94000</v>
      </c>
    </row>
    <row r="22" spans="1:16" x14ac:dyDescent="0.3">
      <c r="A22" s="21" t="s">
        <v>4</v>
      </c>
      <c r="B22" s="21"/>
      <c r="C22" s="21" t="s">
        <v>4</v>
      </c>
      <c r="D22" s="21"/>
      <c r="E22" s="21"/>
      <c r="F22" s="7" t="s">
        <v>44</v>
      </c>
      <c r="G22" s="7" t="s">
        <v>33</v>
      </c>
      <c r="H22" s="8">
        <v>258</v>
      </c>
      <c r="I22" s="23">
        <v>0</v>
      </c>
      <c r="J22" s="23"/>
      <c r="K22" s="23"/>
      <c r="L22" s="24">
        <v>485455</v>
      </c>
      <c r="M22" s="24"/>
      <c r="N22" s="24">
        <v>48545</v>
      </c>
      <c r="O22" s="24"/>
      <c r="P22" s="9">
        <v>534000</v>
      </c>
    </row>
    <row r="23" spans="1:16" x14ac:dyDescent="0.3">
      <c r="A23" s="21" t="s">
        <v>45</v>
      </c>
      <c r="B23" s="21"/>
      <c r="C23" s="21" t="s">
        <v>46</v>
      </c>
      <c r="D23" s="21"/>
      <c r="E23" s="21"/>
      <c r="F23" s="4" t="s">
        <v>47</v>
      </c>
      <c r="G23" s="4" t="s">
        <v>33</v>
      </c>
      <c r="H23" s="5">
        <v>43</v>
      </c>
      <c r="I23" s="22">
        <v>2034</v>
      </c>
      <c r="J23" s="22"/>
      <c r="K23" s="22"/>
      <c r="L23" s="22">
        <v>80000</v>
      </c>
      <c r="M23" s="22"/>
      <c r="N23" s="22">
        <v>8000</v>
      </c>
      <c r="O23" s="22"/>
      <c r="P23" s="6">
        <v>88000</v>
      </c>
    </row>
    <row r="24" spans="1:16" x14ac:dyDescent="0.3">
      <c r="A24" s="21" t="s">
        <v>48</v>
      </c>
      <c r="B24" s="21"/>
      <c r="C24" s="21" t="s">
        <v>46</v>
      </c>
      <c r="D24" s="21"/>
      <c r="E24" s="21"/>
      <c r="F24" s="4" t="s">
        <v>47</v>
      </c>
      <c r="G24" s="4" t="s">
        <v>33</v>
      </c>
      <c r="H24" s="5">
        <v>41</v>
      </c>
      <c r="I24" s="22">
        <v>2034</v>
      </c>
      <c r="J24" s="22"/>
      <c r="K24" s="22"/>
      <c r="L24" s="22">
        <v>77344</v>
      </c>
      <c r="M24" s="22"/>
      <c r="N24" s="22">
        <v>7734</v>
      </c>
      <c r="O24" s="22"/>
      <c r="P24" s="6">
        <v>85078</v>
      </c>
    </row>
    <row r="25" spans="1:16" x14ac:dyDescent="0.3">
      <c r="A25" s="21" t="s">
        <v>38</v>
      </c>
      <c r="B25" s="21"/>
      <c r="C25" s="21" t="s">
        <v>46</v>
      </c>
      <c r="D25" s="21"/>
      <c r="E25" s="21"/>
      <c r="F25" s="4" t="s">
        <v>47</v>
      </c>
      <c r="G25" s="4" t="s">
        <v>33</v>
      </c>
      <c r="H25" s="5">
        <v>42</v>
      </c>
      <c r="I25" s="22">
        <v>2034</v>
      </c>
      <c r="J25" s="22"/>
      <c r="K25" s="22"/>
      <c r="L25" s="22">
        <v>79091</v>
      </c>
      <c r="M25" s="22"/>
      <c r="N25" s="22">
        <v>7909</v>
      </c>
      <c r="O25" s="22"/>
      <c r="P25" s="6">
        <v>87000</v>
      </c>
    </row>
    <row r="26" spans="1:16" x14ac:dyDescent="0.3">
      <c r="A26" s="21" t="s">
        <v>4</v>
      </c>
      <c r="B26" s="21"/>
      <c r="C26" s="21" t="s">
        <v>4</v>
      </c>
      <c r="D26" s="21"/>
      <c r="E26" s="21"/>
      <c r="F26" s="7" t="s">
        <v>49</v>
      </c>
      <c r="G26" s="7" t="s">
        <v>33</v>
      </c>
      <c r="H26" s="8">
        <v>126</v>
      </c>
      <c r="I26" s="23">
        <v>0</v>
      </c>
      <c r="J26" s="23"/>
      <c r="K26" s="23"/>
      <c r="L26" s="24">
        <v>236435</v>
      </c>
      <c r="M26" s="24"/>
      <c r="N26" s="24">
        <v>23643</v>
      </c>
      <c r="O26" s="24"/>
      <c r="P26" s="9">
        <v>260078</v>
      </c>
    </row>
    <row r="27" spans="1:16" x14ac:dyDescent="0.3">
      <c r="A27" s="21" t="s">
        <v>35</v>
      </c>
      <c r="B27" s="21"/>
      <c r="C27" s="21" t="s">
        <v>50</v>
      </c>
      <c r="D27" s="21"/>
      <c r="E27" s="21"/>
      <c r="F27" s="4" t="s">
        <v>47</v>
      </c>
      <c r="G27" s="4" t="s">
        <v>33</v>
      </c>
      <c r="H27" s="5">
        <v>40</v>
      </c>
      <c r="I27" s="22">
        <v>2034</v>
      </c>
      <c r="J27" s="22"/>
      <c r="K27" s="22"/>
      <c r="L27" s="22">
        <v>75455</v>
      </c>
      <c r="M27" s="22"/>
      <c r="N27" s="22">
        <v>7545</v>
      </c>
      <c r="O27" s="22"/>
      <c r="P27" s="6">
        <v>83000</v>
      </c>
    </row>
    <row r="28" spans="1:16" x14ac:dyDescent="0.3">
      <c r="A28" s="21" t="s">
        <v>37</v>
      </c>
      <c r="B28" s="21"/>
      <c r="C28" s="21" t="s">
        <v>50</v>
      </c>
      <c r="D28" s="21"/>
      <c r="E28" s="21"/>
      <c r="F28" s="4" t="s">
        <v>47</v>
      </c>
      <c r="G28" s="4" t="s">
        <v>33</v>
      </c>
      <c r="H28" s="5">
        <v>44</v>
      </c>
      <c r="I28" s="22">
        <v>2034</v>
      </c>
      <c r="J28" s="22"/>
      <c r="K28" s="22"/>
      <c r="L28" s="22">
        <v>81818</v>
      </c>
      <c r="M28" s="22"/>
      <c r="N28" s="22">
        <v>8182</v>
      </c>
      <c r="O28" s="22"/>
      <c r="P28" s="6">
        <v>90000</v>
      </c>
    </row>
    <row r="29" spans="1:16" x14ac:dyDescent="0.3">
      <c r="A29" s="21" t="s">
        <v>4</v>
      </c>
      <c r="B29" s="21"/>
      <c r="C29" s="21" t="s">
        <v>4</v>
      </c>
      <c r="D29" s="21"/>
      <c r="E29" s="21"/>
      <c r="F29" s="7" t="s">
        <v>51</v>
      </c>
      <c r="G29" s="7" t="s">
        <v>33</v>
      </c>
      <c r="H29" s="8">
        <v>84</v>
      </c>
      <c r="I29" s="23">
        <v>0</v>
      </c>
      <c r="J29" s="23"/>
      <c r="K29" s="23"/>
      <c r="L29" s="24">
        <v>157273</v>
      </c>
      <c r="M29" s="24"/>
      <c r="N29" s="24">
        <v>15727</v>
      </c>
      <c r="O29" s="24"/>
      <c r="P29" s="9">
        <v>173000</v>
      </c>
    </row>
    <row r="30" spans="1:16" x14ac:dyDescent="0.3">
      <c r="A30" s="21" t="s">
        <v>41</v>
      </c>
      <c r="B30" s="21"/>
      <c r="C30" s="21" t="s">
        <v>52</v>
      </c>
      <c r="D30" s="21"/>
      <c r="E30" s="21"/>
      <c r="F30" s="4" t="s">
        <v>47</v>
      </c>
      <c r="G30" s="4" t="s">
        <v>33</v>
      </c>
      <c r="H30" s="5">
        <v>44</v>
      </c>
      <c r="I30" s="22">
        <v>2034</v>
      </c>
      <c r="J30" s="22"/>
      <c r="K30" s="22"/>
      <c r="L30" s="22">
        <v>81818</v>
      </c>
      <c r="M30" s="22"/>
      <c r="N30" s="22">
        <v>8182</v>
      </c>
      <c r="O30" s="22"/>
      <c r="P30" s="6">
        <v>90000</v>
      </c>
    </row>
    <row r="31" spans="1:16" x14ac:dyDescent="0.3">
      <c r="A31" s="21" t="s">
        <v>36</v>
      </c>
      <c r="B31" s="21"/>
      <c r="C31" s="21" t="s">
        <v>52</v>
      </c>
      <c r="D31" s="21"/>
      <c r="E31" s="21"/>
      <c r="F31" s="4" t="s">
        <v>47</v>
      </c>
      <c r="G31" s="4" t="s">
        <v>33</v>
      </c>
      <c r="H31" s="5">
        <v>40</v>
      </c>
      <c r="I31" s="22">
        <v>2034</v>
      </c>
      <c r="J31" s="22"/>
      <c r="K31" s="22"/>
      <c r="L31" s="22">
        <v>74148</v>
      </c>
      <c r="M31" s="22"/>
      <c r="N31" s="22">
        <v>7415</v>
      </c>
      <c r="O31" s="22"/>
      <c r="P31" s="6">
        <v>81563</v>
      </c>
    </row>
    <row r="32" spans="1:16" x14ac:dyDescent="0.3">
      <c r="A32" s="21" t="s">
        <v>53</v>
      </c>
      <c r="B32" s="21"/>
      <c r="C32" s="21" t="s">
        <v>52</v>
      </c>
      <c r="D32" s="21"/>
      <c r="E32" s="21"/>
      <c r="F32" s="4" t="s">
        <v>47</v>
      </c>
      <c r="G32" s="4" t="s">
        <v>33</v>
      </c>
      <c r="H32" s="5">
        <v>19</v>
      </c>
      <c r="I32" s="22">
        <v>2034</v>
      </c>
      <c r="J32" s="22"/>
      <c r="K32" s="22"/>
      <c r="L32" s="22">
        <v>36364</v>
      </c>
      <c r="M32" s="22"/>
      <c r="N32" s="22">
        <v>3636</v>
      </c>
      <c r="O32" s="22"/>
      <c r="P32" s="6">
        <v>40000</v>
      </c>
    </row>
    <row r="33" spans="1:16" x14ac:dyDescent="0.3">
      <c r="A33" s="21" t="s">
        <v>53</v>
      </c>
      <c r="B33" s="21"/>
      <c r="C33" s="21" t="s">
        <v>52</v>
      </c>
      <c r="D33" s="21"/>
      <c r="E33" s="21"/>
      <c r="F33" s="4" t="s">
        <v>47</v>
      </c>
      <c r="G33" s="4" t="s">
        <v>33</v>
      </c>
      <c r="H33" s="5">
        <v>4</v>
      </c>
      <c r="I33" s="22">
        <v>2034</v>
      </c>
      <c r="J33" s="22"/>
      <c r="K33" s="22"/>
      <c r="L33" s="22">
        <v>9091</v>
      </c>
      <c r="M33" s="22"/>
      <c r="N33" s="22">
        <v>909</v>
      </c>
      <c r="O33" s="22"/>
      <c r="P33" s="6">
        <v>10000</v>
      </c>
    </row>
    <row r="34" spans="1:16" x14ac:dyDescent="0.3">
      <c r="A34" s="21" t="s">
        <v>2</v>
      </c>
      <c r="B34" s="21"/>
      <c r="C34" s="21" t="s">
        <v>52</v>
      </c>
      <c r="D34" s="21"/>
      <c r="E34" s="21"/>
      <c r="F34" s="4" t="s">
        <v>47</v>
      </c>
      <c r="G34" s="4" t="s">
        <v>33</v>
      </c>
      <c r="H34" s="5">
        <v>47</v>
      </c>
      <c r="I34" s="22">
        <v>2034</v>
      </c>
      <c r="J34" s="22"/>
      <c r="K34" s="22"/>
      <c r="L34" s="22">
        <v>87273</v>
      </c>
      <c r="M34" s="22"/>
      <c r="N34" s="22">
        <v>8727</v>
      </c>
      <c r="O34" s="22"/>
      <c r="P34" s="6">
        <v>96000</v>
      </c>
    </row>
    <row r="35" spans="1:16" x14ac:dyDescent="0.3">
      <c r="A35" s="21" t="s">
        <v>4</v>
      </c>
      <c r="B35" s="21"/>
      <c r="C35" s="21" t="s">
        <v>4</v>
      </c>
      <c r="D35" s="21"/>
      <c r="E35" s="21"/>
      <c r="F35" s="7" t="s">
        <v>54</v>
      </c>
      <c r="G35" s="7" t="s">
        <v>33</v>
      </c>
      <c r="H35" s="8">
        <v>154</v>
      </c>
      <c r="I35" s="23">
        <v>0</v>
      </c>
      <c r="J35" s="23"/>
      <c r="K35" s="23"/>
      <c r="L35" s="24">
        <v>288694</v>
      </c>
      <c r="M35" s="24"/>
      <c r="N35" s="24">
        <v>28869</v>
      </c>
      <c r="O35" s="24"/>
      <c r="P35" s="9">
        <v>317563</v>
      </c>
    </row>
    <row r="36" spans="1:16" x14ac:dyDescent="0.3">
      <c r="A36" s="21" t="s">
        <v>45</v>
      </c>
      <c r="B36" s="21"/>
      <c r="C36" s="21" t="s">
        <v>55</v>
      </c>
      <c r="D36" s="21"/>
      <c r="E36" s="21"/>
      <c r="F36" s="4" t="s">
        <v>47</v>
      </c>
      <c r="G36" s="4" t="s">
        <v>33</v>
      </c>
      <c r="H36" s="5">
        <v>44</v>
      </c>
      <c r="I36" s="22">
        <v>2034</v>
      </c>
      <c r="J36" s="22"/>
      <c r="K36" s="22"/>
      <c r="L36" s="22">
        <v>81818</v>
      </c>
      <c r="M36" s="22"/>
      <c r="N36" s="22">
        <v>8182</v>
      </c>
      <c r="O36" s="22"/>
      <c r="P36" s="6">
        <v>90000</v>
      </c>
    </row>
    <row r="37" spans="1:16" x14ac:dyDescent="0.3">
      <c r="A37" s="21" t="s">
        <v>56</v>
      </c>
      <c r="B37" s="21"/>
      <c r="C37" s="21" t="s">
        <v>55</v>
      </c>
      <c r="D37" s="21"/>
      <c r="E37" s="21"/>
      <c r="F37" s="4" t="s">
        <v>47</v>
      </c>
      <c r="G37" s="4" t="s">
        <v>33</v>
      </c>
      <c r="H37" s="5">
        <v>43</v>
      </c>
      <c r="I37" s="22">
        <v>2034</v>
      </c>
      <c r="J37" s="22"/>
      <c r="K37" s="22"/>
      <c r="L37" s="22">
        <v>80000</v>
      </c>
      <c r="M37" s="22"/>
      <c r="N37" s="22">
        <v>8000</v>
      </c>
      <c r="O37" s="22"/>
      <c r="P37" s="6">
        <v>88000</v>
      </c>
    </row>
    <row r="38" spans="1:16" x14ac:dyDescent="0.3">
      <c r="A38" s="21" t="s">
        <v>48</v>
      </c>
      <c r="B38" s="21"/>
      <c r="C38" s="21" t="s">
        <v>55</v>
      </c>
      <c r="D38" s="21"/>
      <c r="E38" s="21"/>
      <c r="F38" s="4" t="s">
        <v>47</v>
      </c>
      <c r="G38" s="4" t="s">
        <v>33</v>
      </c>
      <c r="H38" s="5">
        <v>14</v>
      </c>
      <c r="I38" s="22">
        <v>2034</v>
      </c>
      <c r="J38" s="22"/>
      <c r="K38" s="22"/>
      <c r="L38" s="22">
        <v>27273</v>
      </c>
      <c r="M38" s="22"/>
      <c r="N38" s="22">
        <v>2727</v>
      </c>
      <c r="O38" s="22"/>
      <c r="P38" s="6">
        <v>30000</v>
      </c>
    </row>
    <row r="39" spans="1:16" x14ac:dyDescent="0.3">
      <c r="A39" s="21" t="s">
        <v>57</v>
      </c>
      <c r="B39" s="21"/>
      <c r="C39" s="21" t="s">
        <v>55</v>
      </c>
      <c r="D39" s="21"/>
      <c r="E39" s="21"/>
      <c r="F39" s="4" t="s">
        <v>47</v>
      </c>
      <c r="G39" s="4" t="s">
        <v>33</v>
      </c>
      <c r="H39" s="5">
        <v>14</v>
      </c>
      <c r="I39" s="22">
        <v>2034</v>
      </c>
      <c r="J39" s="22"/>
      <c r="K39" s="22"/>
      <c r="L39" s="22">
        <v>27273</v>
      </c>
      <c r="M39" s="22"/>
      <c r="N39" s="22">
        <v>2727</v>
      </c>
      <c r="O39" s="22"/>
      <c r="P39" s="6">
        <v>30000</v>
      </c>
    </row>
    <row r="40" spans="1:16" x14ac:dyDescent="0.3">
      <c r="A40" s="21" t="s">
        <v>58</v>
      </c>
      <c r="B40" s="21"/>
      <c r="C40" s="21" t="s">
        <v>55</v>
      </c>
      <c r="D40" s="21"/>
      <c r="E40" s="21"/>
      <c r="F40" s="4" t="s">
        <v>47</v>
      </c>
      <c r="G40" s="4" t="s">
        <v>33</v>
      </c>
      <c r="H40" s="5">
        <v>47</v>
      </c>
      <c r="I40" s="22">
        <v>2034</v>
      </c>
      <c r="J40" s="22"/>
      <c r="K40" s="22"/>
      <c r="L40" s="22">
        <v>87273</v>
      </c>
      <c r="M40" s="22"/>
      <c r="N40" s="22">
        <v>8727</v>
      </c>
      <c r="O40" s="22"/>
      <c r="P40" s="6">
        <v>96000</v>
      </c>
    </row>
    <row r="41" spans="1:16" x14ac:dyDescent="0.3">
      <c r="A41" s="21" t="s">
        <v>4</v>
      </c>
      <c r="B41" s="21"/>
      <c r="C41" s="21" t="s">
        <v>4</v>
      </c>
      <c r="D41" s="21"/>
      <c r="E41" s="21"/>
      <c r="F41" s="7" t="s">
        <v>59</v>
      </c>
      <c r="G41" s="7" t="s">
        <v>33</v>
      </c>
      <c r="H41" s="8">
        <v>162</v>
      </c>
      <c r="I41" s="23">
        <v>0</v>
      </c>
      <c r="J41" s="23"/>
      <c r="K41" s="23"/>
      <c r="L41" s="24">
        <v>303637</v>
      </c>
      <c r="M41" s="24"/>
      <c r="N41" s="24">
        <v>30363</v>
      </c>
      <c r="O41" s="24"/>
      <c r="P41" s="9">
        <v>334000</v>
      </c>
    </row>
    <row r="42" spans="1:16" x14ac:dyDescent="0.3">
      <c r="A42" s="21" t="s">
        <v>60</v>
      </c>
      <c r="B42" s="21"/>
      <c r="C42" s="21" t="s">
        <v>61</v>
      </c>
      <c r="D42" s="21"/>
      <c r="E42" s="21"/>
      <c r="F42" s="4" t="s">
        <v>47</v>
      </c>
      <c r="G42" s="4" t="s">
        <v>33</v>
      </c>
      <c r="H42" s="5">
        <v>41</v>
      </c>
      <c r="I42" s="22">
        <v>2034</v>
      </c>
      <c r="J42" s="22"/>
      <c r="K42" s="22"/>
      <c r="L42" s="22">
        <v>77273</v>
      </c>
      <c r="M42" s="22"/>
      <c r="N42" s="22">
        <v>7727</v>
      </c>
      <c r="O42" s="22"/>
      <c r="P42" s="6">
        <v>85000</v>
      </c>
    </row>
    <row r="43" spans="1:16" x14ac:dyDescent="0.3">
      <c r="A43" s="21" t="s">
        <v>35</v>
      </c>
      <c r="B43" s="21"/>
      <c r="C43" s="21" t="s">
        <v>61</v>
      </c>
      <c r="D43" s="21"/>
      <c r="E43" s="21"/>
      <c r="F43" s="4" t="s">
        <v>47</v>
      </c>
      <c r="G43" s="4" t="s">
        <v>33</v>
      </c>
      <c r="H43" s="5">
        <v>41</v>
      </c>
      <c r="I43" s="22">
        <v>2034</v>
      </c>
      <c r="J43" s="22"/>
      <c r="K43" s="22"/>
      <c r="L43" s="22">
        <v>76364</v>
      </c>
      <c r="M43" s="22"/>
      <c r="N43" s="22">
        <v>7636</v>
      </c>
      <c r="O43" s="22"/>
      <c r="P43" s="6">
        <v>84000</v>
      </c>
    </row>
    <row r="44" spans="1:16" x14ac:dyDescent="0.3">
      <c r="A44" s="21" t="s">
        <v>48</v>
      </c>
      <c r="B44" s="21"/>
      <c r="C44" s="21" t="s">
        <v>61</v>
      </c>
      <c r="D44" s="21"/>
      <c r="E44" s="21"/>
      <c r="F44" s="4" t="s">
        <v>47</v>
      </c>
      <c r="G44" s="4" t="s">
        <v>33</v>
      </c>
      <c r="H44" s="5">
        <v>36</v>
      </c>
      <c r="I44" s="22">
        <v>2034</v>
      </c>
      <c r="J44" s="22"/>
      <c r="K44" s="22"/>
      <c r="L44" s="22">
        <v>68182</v>
      </c>
      <c r="M44" s="22"/>
      <c r="N44" s="22">
        <v>6818</v>
      </c>
      <c r="O44" s="22"/>
      <c r="P44" s="6">
        <v>75000</v>
      </c>
    </row>
    <row r="45" spans="1:16" x14ac:dyDescent="0.3">
      <c r="A45" s="21" t="s">
        <v>58</v>
      </c>
      <c r="B45" s="21"/>
      <c r="C45" s="21" t="s">
        <v>61</v>
      </c>
      <c r="D45" s="21"/>
      <c r="E45" s="21"/>
      <c r="F45" s="4" t="s">
        <v>47</v>
      </c>
      <c r="G45" s="4" t="s">
        <v>33</v>
      </c>
      <c r="H45" s="5">
        <v>41</v>
      </c>
      <c r="I45" s="22">
        <v>2034</v>
      </c>
      <c r="J45" s="22"/>
      <c r="K45" s="22"/>
      <c r="L45" s="22">
        <v>76364</v>
      </c>
      <c r="M45" s="22"/>
      <c r="N45" s="22">
        <v>7636</v>
      </c>
      <c r="O45" s="22"/>
      <c r="P45" s="6">
        <v>84000</v>
      </c>
    </row>
    <row r="46" spans="1:16" x14ac:dyDescent="0.3">
      <c r="A46" s="21" t="s">
        <v>4</v>
      </c>
      <c r="B46" s="21"/>
      <c r="C46" s="21" t="s">
        <v>4</v>
      </c>
      <c r="D46" s="21"/>
      <c r="E46" s="21"/>
      <c r="F46" s="7" t="s">
        <v>62</v>
      </c>
      <c r="G46" s="7" t="s">
        <v>33</v>
      </c>
      <c r="H46" s="8">
        <v>159</v>
      </c>
      <c r="I46" s="23">
        <v>0</v>
      </c>
      <c r="J46" s="23"/>
      <c r="K46" s="23"/>
      <c r="L46" s="24">
        <v>298183</v>
      </c>
      <c r="M46" s="24"/>
      <c r="N46" s="24">
        <v>29817</v>
      </c>
      <c r="O46" s="24"/>
      <c r="P46" s="9">
        <v>328000</v>
      </c>
    </row>
    <row r="47" spans="1:16" x14ac:dyDescent="0.3">
      <c r="A47" s="21" t="s">
        <v>41</v>
      </c>
      <c r="B47" s="21"/>
      <c r="C47" s="21" t="s">
        <v>63</v>
      </c>
      <c r="D47" s="21"/>
      <c r="E47" s="21"/>
      <c r="F47" s="4" t="s">
        <v>47</v>
      </c>
      <c r="G47" s="4" t="s">
        <v>33</v>
      </c>
      <c r="H47" s="5">
        <v>59</v>
      </c>
      <c r="I47" s="22">
        <v>2034</v>
      </c>
      <c r="J47" s="22"/>
      <c r="K47" s="22"/>
      <c r="L47" s="22">
        <v>109091</v>
      </c>
      <c r="M47" s="22"/>
      <c r="N47" s="22">
        <v>10909</v>
      </c>
      <c r="O47" s="22"/>
      <c r="P47" s="6">
        <v>120000</v>
      </c>
    </row>
    <row r="48" spans="1:16" x14ac:dyDescent="0.3">
      <c r="A48" s="21" t="s">
        <v>35</v>
      </c>
      <c r="B48" s="21"/>
      <c r="C48" s="21" t="s">
        <v>63</v>
      </c>
      <c r="D48" s="21"/>
      <c r="E48" s="21"/>
      <c r="F48" s="4" t="s">
        <v>47</v>
      </c>
      <c r="G48" s="4" t="s">
        <v>33</v>
      </c>
      <c r="H48" s="5">
        <v>61</v>
      </c>
      <c r="I48" s="22">
        <v>2034</v>
      </c>
      <c r="J48" s="22"/>
      <c r="K48" s="22"/>
      <c r="L48" s="22">
        <v>113636</v>
      </c>
      <c r="M48" s="22"/>
      <c r="N48" s="22">
        <v>11364</v>
      </c>
      <c r="O48" s="22"/>
      <c r="P48" s="6">
        <v>125000</v>
      </c>
    </row>
    <row r="49" spans="1:16" x14ac:dyDescent="0.3">
      <c r="A49" s="21" t="s">
        <v>42</v>
      </c>
      <c r="B49" s="21"/>
      <c r="C49" s="21" t="s">
        <v>63</v>
      </c>
      <c r="D49" s="21"/>
      <c r="E49" s="21"/>
      <c r="F49" s="4" t="s">
        <v>47</v>
      </c>
      <c r="G49" s="4" t="s">
        <v>33</v>
      </c>
      <c r="H49" s="5">
        <v>54</v>
      </c>
      <c r="I49" s="22">
        <v>2034</v>
      </c>
      <c r="J49" s="22"/>
      <c r="K49" s="22"/>
      <c r="L49" s="22">
        <v>100000</v>
      </c>
      <c r="M49" s="22"/>
      <c r="N49" s="22">
        <v>10000</v>
      </c>
      <c r="O49" s="22"/>
      <c r="P49" s="6">
        <v>110000</v>
      </c>
    </row>
    <row r="50" spans="1:16" x14ac:dyDescent="0.3">
      <c r="A50" s="21" t="s">
        <v>48</v>
      </c>
      <c r="B50" s="21"/>
      <c r="C50" s="21" t="s">
        <v>63</v>
      </c>
      <c r="D50" s="21"/>
      <c r="E50" s="21"/>
      <c r="F50" s="4" t="s">
        <v>47</v>
      </c>
      <c r="G50" s="4" t="s">
        <v>33</v>
      </c>
      <c r="H50" s="5">
        <v>56</v>
      </c>
      <c r="I50" s="22">
        <v>2034</v>
      </c>
      <c r="J50" s="22"/>
      <c r="K50" s="22"/>
      <c r="L50" s="22">
        <v>103636</v>
      </c>
      <c r="M50" s="22"/>
      <c r="N50" s="22">
        <v>10364</v>
      </c>
      <c r="O50" s="22"/>
      <c r="P50" s="6">
        <v>114000</v>
      </c>
    </row>
    <row r="51" spans="1:16" x14ac:dyDescent="0.3">
      <c r="A51" s="21" t="s">
        <v>37</v>
      </c>
      <c r="B51" s="21"/>
      <c r="C51" s="21" t="s">
        <v>63</v>
      </c>
      <c r="D51" s="21"/>
      <c r="E51" s="21"/>
      <c r="F51" s="4" t="s">
        <v>47</v>
      </c>
      <c r="G51" s="4" t="s">
        <v>33</v>
      </c>
      <c r="H51" s="5">
        <v>50</v>
      </c>
      <c r="I51" s="22">
        <v>2034</v>
      </c>
      <c r="J51" s="22"/>
      <c r="K51" s="22"/>
      <c r="L51" s="22">
        <v>93689</v>
      </c>
      <c r="M51" s="22"/>
      <c r="N51" s="22">
        <v>9369</v>
      </c>
      <c r="O51" s="22"/>
      <c r="P51" s="6">
        <v>103058</v>
      </c>
    </row>
    <row r="52" spans="1:16" x14ac:dyDescent="0.3">
      <c r="A52" s="21" t="s">
        <v>2</v>
      </c>
      <c r="B52" s="21"/>
      <c r="C52" s="21" t="s">
        <v>63</v>
      </c>
      <c r="D52" s="21"/>
      <c r="E52" s="21"/>
      <c r="F52" s="4" t="s">
        <v>47</v>
      </c>
      <c r="G52" s="4" t="s">
        <v>33</v>
      </c>
      <c r="H52" s="5">
        <v>59</v>
      </c>
      <c r="I52" s="22">
        <v>2034</v>
      </c>
      <c r="J52" s="22"/>
      <c r="K52" s="22"/>
      <c r="L52" s="22">
        <v>110909</v>
      </c>
      <c r="M52" s="22"/>
      <c r="N52" s="22">
        <v>11091</v>
      </c>
      <c r="O52" s="22"/>
      <c r="P52" s="6">
        <v>122000</v>
      </c>
    </row>
    <row r="53" spans="1:16" x14ac:dyDescent="0.3">
      <c r="A53" s="21" t="s">
        <v>2</v>
      </c>
      <c r="B53" s="21"/>
      <c r="C53" s="21" t="s">
        <v>63</v>
      </c>
      <c r="D53" s="21"/>
      <c r="E53" s="21"/>
      <c r="F53" s="4" t="s">
        <v>47</v>
      </c>
      <c r="G53" s="4" t="s">
        <v>33</v>
      </c>
      <c r="H53" s="5">
        <v>2</v>
      </c>
      <c r="I53" s="22">
        <v>2034</v>
      </c>
      <c r="J53" s="22"/>
      <c r="K53" s="22"/>
      <c r="L53" s="22">
        <v>4545</v>
      </c>
      <c r="M53" s="22"/>
      <c r="N53" s="22">
        <v>455</v>
      </c>
      <c r="O53" s="22"/>
      <c r="P53" s="6">
        <v>5000</v>
      </c>
    </row>
    <row r="54" spans="1:16" x14ac:dyDescent="0.3">
      <c r="A54" s="21" t="s">
        <v>4</v>
      </c>
      <c r="B54" s="21"/>
      <c r="C54" s="21" t="s">
        <v>4</v>
      </c>
      <c r="D54" s="21"/>
      <c r="E54" s="21"/>
      <c r="F54" s="7" t="s">
        <v>64</v>
      </c>
      <c r="G54" s="7" t="s">
        <v>33</v>
      </c>
      <c r="H54" s="8">
        <v>341</v>
      </c>
      <c r="I54" s="23">
        <v>0</v>
      </c>
      <c r="J54" s="23"/>
      <c r="K54" s="23"/>
      <c r="L54" s="24">
        <v>635506</v>
      </c>
      <c r="M54" s="24"/>
      <c r="N54" s="24">
        <v>63552</v>
      </c>
      <c r="O54" s="24"/>
      <c r="P54" s="9">
        <v>699058</v>
      </c>
    </row>
    <row r="55" spans="1:16" x14ac:dyDescent="0.3">
      <c r="A55" s="21" t="s">
        <v>57</v>
      </c>
      <c r="B55" s="21"/>
      <c r="C55" s="21" t="s">
        <v>65</v>
      </c>
      <c r="D55" s="21"/>
      <c r="E55" s="21"/>
      <c r="F55" s="4" t="s">
        <v>32</v>
      </c>
      <c r="G55" s="4" t="s">
        <v>33</v>
      </c>
      <c r="H55" s="5">
        <v>389</v>
      </c>
      <c r="I55" s="22">
        <v>2049</v>
      </c>
      <c r="J55" s="22"/>
      <c r="K55" s="22"/>
      <c r="L55" s="22">
        <v>724601</v>
      </c>
      <c r="M55" s="22"/>
      <c r="N55" s="22">
        <v>72460</v>
      </c>
      <c r="O55" s="22"/>
      <c r="P55" s="6">
        <v>797061</v>
      </c>
    </row>
    <row r="56" spans="1:16" x14ac:dyDescent="0.3">
      <c r="A56" s="21" t="s">
        <v>4</v>
      </c>
      <c r="B56" s="21"/>
      <c r="C56" s="21" t="s">
        <v>4</v>
      </c>
      <c r="D56" s="21"/>
      <c r="E56" s="21"/>
      <c r="F56" s="7" t="s">
        <v>66</v>
      </c>
      <c r="G56" s="7" t="s">
        <v>33</v>
      </c>
      <c r="H56" s="8">
        <v>389</v>
      </c>
      <c r="I56" s="23">
        <v>0</v>
      </c>
      <c r="J56" s="23"/>
      <c r="K56" s="23"/>
      <c r="L56" s="24">
        <v>724601</v>
      </c>
      <c r="M56" s="24"/>
      <c r="N56" s="24">
        <v>72460</v>
      </c>
      <c r="O56" s="24"/>
      <c r="P56" s="9">
        <v>797061</v>
      </c>
    </row>
    <row r="57" spans="1:16" ht="17.25" x14ac:dyDescent="0.3">
      <c r="A57" s="14" t="s">
        <v>68</v>
      </c>
      <c r="B57" s="14"/>
      <c r="C57" s="14"/>
      <c r="D57" s="14"/>
      <c r="E57" s="14"/>
      <c r="F57" s="14"/>
      <c r="G57" s="14"/>
      <c r="H57" s="10">
        <v>1916</v>
      </c>
      <c r="I57" s="14"/>
      <c r="J57" s="14"/>
      <c r="K57" s="14"/>
      <c r="L57" s="15">
        <f>P57/1.1</f>
        <v>52254.545454545449</v>
      </c>
      <c r="M57" s="15"/>
      <c r="N57" s="15">
        <f>P57-L57</f>
        <v>5225.4545454545514</v>
      </c>
      <c r="O57" s="15"/>
      <c r="P57" s="11">
        <f>H57*30</f>
        <v>57480</v>
      </c>
    </row>
    <row r="58" spans="1:16" ht="17.25" customHeight="1" x14ac:dyDescent="0.3">
      <c r="A58" s="14" t="s">
        <v>67</v>
      </c>
      <c r="B58" s="14"/>
      <c r="C58" s="14"/>
      <c r="D58" s="14"/>
      <c r="E58" s="14"/>
      <c r="F58" s="14"/>
      <c r="G58" s="14"/>
      <c r="H58" s="10">
        <v>1916</v>
      </c>
      <c r="I58" s="14" t="s">
        <v>4</v>
      </c>
      <c r="J58" s="14"/>
      <c r="K58" s="14"/>
      <c r="L58" s="15">
        <v>3589784</v>
      </c>
      <c r="M58" s="15"/>
      <c r="N58" s="15">
        <v>358976</v>
      </c>
      <c r="O58" s="15"/>
      <c r="P58" s="11">
        <v>3948760</v>
      </c>
    </row>
    <row r="59" spans="1:16" ht="17.25" x14ac:dyDescent="0.3">
      <c r="A59" s="14" t="s">
        <v>69</v>
      </c>
      <c r="B59" s="14"/>
      <c r="C59" s="14"/>
      <c r="D59" s="14"/>
      <c r="E59" s="14"/>
      <c r="F59" s="14"/>
      <c r="G59" s="14"/>
      <c r="H59" s="10">
        <f>H58</f>
        <v>1916</v>
      </c>
      <c r="I59" s="14"/>
      <c r="J59" s="14"/>
      <c r="K59" s="14"/>
      <c r="L59" s="15">
        <f>L58-L57</f>
        <v>3537529.4545454546</v>
      </c>
      <c r="M59" s="15"/>
      <c r="N59" s="25">
        <f>N58-N57</f>
        <v>353750.54545454547</v>
      </c>
      <c r="O59" s="26"/>
      <c r="P59" s="11">
        <f>P58-P57</f>
        <v>3891280</v>
      </c>
    </row>
    <row r="61" spans="1:16" x14ac:dyDescent="0.3">
      <c r="A61" s="13" t="s">
        <v>70</v>
      </c>
      <c r="B61" s="13"/>
    </row>
    <row r="62" spans="1:16" ht="17.25" customHeight="1" x14ac:dyDescent="0.3">
      <c r="A62" s="14" t="s">
        <v>71</v>
      </c>
      <c r="B62" s="14"/>
      <c r="C62" s="14"/>
      <c r="D62" s="14"/>
      <c r="E62" s="14"/>
      <c r="F62" s="14"/>
      <c r="G62" s="14"/>
      <c r="H62" s="10">
        <f>H56</f>
        <v>389</v>
      </c>
      <c r="I62" s="14"/>
      <c r="J62" s="14"/>
      <c r="K62" s="14"/>
      <c r="L62" s="15">
        <f>P62/1.1</f>
        <v>713991.81818181812</v>
      </c>
      <c r="M62" s="15"/>
      <c r="N62" s="15">
        <f>P62-L62</f>
        <v>71399.181818181882</v>
      </c>
      <c r="O62" s="15"/>
      <c r="P62" s="12">
        <f>P56-(30*H62)</f>
        <v>785391</v>
      </c>
    </row>
    <row r="63" spans="1:16" ht="17.25" customHeight="1" x14ac:dyDescent="0.3">
      <c r="A63" s="14" t="s">
        <v>72</v>
      </c>
      <c r="B63" s="14"/>
      <c r="C63" s="14"/>
      <c r="D63" s="14"/>
      <c r="E63" s="14"/>
      <c r="F63" s="14"/>
      <c r="G63" s="14"/>
      <c r="H63" s="10">
        <f>H54+H46+H41+H35+H29+H26+H22+H15</f>
        <v>1527</v>
      </c>
      <c r="I63" s="14"/>
      <c r="J63" s="14"/>
      <c r="K63" s="14"/>
      <c r="L63" s="15">
        <f>P63/1.1</f>
        <v>2823535.4545454541</v>
      </c>
      <c r="M63" s="15"/>
      <c r="N63" s="15">
        <f>P63-L63</f>
        <v>282353.54545454588</v>
      </c>
      <c r="O63" s="15"/>
      <c r="P63" s="12">
        <f>P54+P46+P41+P35+P29+P26+P22+P15-(H63*30)</f>
        <v>3105889</v>
      </c>
    </row>
  </sheetData>
  <mergeCells count="282">
    <mergeCell ref="A59:G59"/>
    <mergeCell ref="I59:K59"/>
    <mergeCell ref="L59:M59"/>
    <mergeCell ref="N59:O59"/>
    <mergeCell ref="A56:B56"/>
    <mergeCell ref="C56:E56"/>
    <mergeCell ref="I56:K56"/>
    <mergeCell ref="L56:M56"/>
    <mergeCell ref="N56:O56"/>
    <mergeCell ref="A58:G58"/>
    <mergeCell ref="I58:K58"/>
    <mergeCell ref="L58:M58"/>
    <mergeCell ref="N58:O58"/>
    <mergeCell ref="A57:G57"/>
    <mergeCell ref="I57:K57"/>
    <mergeCell ref="L57:M57"/>
    <mergeCell ref="N57:O57"/>
    <mergeCell ref="A54:B54"/>
    <mergeCell ref="C54:E54"/>
    <mergeCell ref="I54:K54"/>
    <mergeCell ref="L54:M54"/>
    <mergeCell ref="N54:O54"/>
    <mergeCell ref="A55:B55"/>
    <mergeCell ref="C55:E55"/>
    <mergeCell ref="I55:K55"/>
    <mergeCell ref="L55:M55"/>
    <mergeCell ref="N55:O55"/>
    <mergeCell ref="A52:B52"/>
    <mergeCell ref="C52:E52"/>
    <mergeCell ref="I52:K52"/>
    <mergeCell ref="L52:M52"/>
    <mergeCell ref="N52:O52"/>
    <mergeCell ref="A53:B53"/>
    <mergeCell ref="C53:E53"/>
    <mergeCell ref="I53:K53"/>
    <mergeCell ref="L53:M53"/>
    <mergeCell ref="N53:O53"/>
    <mergeCell ref="A50:B50"/>
    <mergeCell ref="C50:E50"/>
    <mergeCell ref="I50:K50"/>
    <mergeCell ref="L50:M50"/>
    <mergeCell ref="N50:O50"/>
    <mergeCell ref="A51:B51"/>
    <mergeCell ref="C51:E51"/>
    <mergeCell ref="I51:K51"/>
    <mergeCell ref="L51:M51"/>
    <mergeCell ref="N51:O51"/>
    <mergeCell ref="A48:B48"/>
    <mergeCell ref="C48:E48"/>
    <mergeCell ref="I48:K48"/>
    <mergeCell ref="L48:M48"/>
    <mergeCell ref="N48:O48"/>
    <mergeCell ref="A49:B49"/>
    <mergeCell ref="C49:E49"/>
    <mergeCell ref="I49:K49"/>
    <mergeCell ref="L49:M49"/>
    <mergeCell ref="N49:O49"/>
    <mergeCell ref="A46:B46"/>
    <mergeCell ref="C46:E46"/>
    <mergeCell ref="I46:K46"/>
    <mergeCell ref="L46:M46"/>
    <mergeCell ref="N46:O46"/>
    <mergeCell ref="A47:B47"/>
    <mergeCell ref="C47:E47"/>
    <mergeCell ref="I47:K47"/>
    <mergeCell ref="L47:M47"/>
    <mergeCell ref="N47:O47"/>
    <mergeCell ref="A44:B44"/>
    <mergeCell ref="C44:E44"/>
    <mergeCell ref="I44:K44"/>
    <mergeCell ref="L44:M44"/>
    <mergeCell ref="N44:O44"/>
    <mergeCell ref="A45:B45"/>
    <mergeCell ref="C45:E45"/>
    <mergeCell ref="I45:K45"/>
    <mergeCell ref="L45:M45"/>
    <mergeCell ref="N45:O45"/>
    <mergeCell ref="A42:B42"/>
    <mergeCell ref="C42:E42"/>
    <mergeCell ref="I42:K42"/>
    <mergeCell ref="L42:M42"/>
    <mergeCell ref="N42:O42"/>
    <mergeCell ref="A43:B43"/>
    <mergeCell ref="C43:E43"/>
    <mergeCell ref="I43:K43"/>
    <mergeCell ref="L43:M43"/>
    <mergeCell ref="N43:O43"/>
    <mergeCell ref="A40:B40"/>
    <mergeCell ref="C40:E40"/>
    <mergeCell ref="I40:K40"/>
    <mergeCell ref="L40:M40"/>
    <mergeCell ref="N40:O40"/>
    <mergeCell ref="A41:B41"/>
    <mergeCell ref="C41:E41"/>
    <mergeCell ref="I41:K41"/>
    <mergeCell ref="L41:M41"/>
    <mergeCell ref="N41:O41"/>
    <mergeCell ref="A38:B38"/>
    <mergeCell ref="C38:E38"/>
    <mergeCell ref="I38:K38"/>
    <mergeCell ref="L38:M38"/>
    <mergeCell ref="N38:O38"/>
    <mergeCell ref="A39:B39"/>
    <mergeCell ref="C39:E39"/>
    <mergeCell ref="I39:K39"/>
    <mergeCell ref="L39:M39"/>
    <mergeCell ref="N39:O39"/>
    <mergeCell ref="A36:B36"/>
    <mergeCell ref="C36:E36"/>
    <mergeCell ref="I36:K36"/>
    <mergeCell ref="L36:M36"/>
    <mergeCell ref="N36:O36"/>
    <mergeCell ref="A37:B37"/>
    <mergeCell ref="C37:E37"/>
    <mergeCell ref="I37:K37"/>
    <mergeCell ref="L37:M37"/>
    <mergeCell ref="N37:O37"/>
    <mergeCell ref="A34:B34"/>
    <mergeCell ref="C34:E34"/>
    <mergeCell ref="I34:K34"/>
    <mergeCell ref="L34:M34"/>
    <mergeCell ref="N34:O34"/>
    <mergeCell ref="A35:B35"/>
    <mergeCell ref="C35:E35"/>
    <mergeCell ref="I35:K35"/>
    <mergeCell ref="L35:M35"/>
    <mergeCell ref="N35:O35"/>
    <mergeCell ref="A32:B32"/>
    <mergeCell ref="C32:E32"/>
    <mergeCell ref="I32:K32"/>
    <mergeCell ref="L32:M32"/>
    <mergeCell ref="N32:O32"/>
    <mergeCell ref="A33:B33"/>
    <mergeCell ref="C33:E33"/>
    <mergeCell ref="I33:K33"/>
    <mergeCell ref="L33:M33"/>
    <mergeCell ref="N33:O33"/>
    <mergeCell ref="A30:B30"/>
    <mergeCell ref="C30:E30"/>
    <mergeCell ref="I30:K30"/>
    <mergeCell ref="L30:M30"/>
    <mergeCell ref="N30:O30"/>
    <mergeCell ref="A31:B31"/>
    <mergeCell ref="C31:E31"/>
    <mergeCell ref="I31:K31"/>
    <mergeCell ref="L31:M31"/>
    <mergeCell ref="N31:O31"/>
    <mergeCell ref="A28:B28"/>
    <mergeCell ref="C28:E28"/>
    <mergeCell ref="I28:K28"/>
    <mergeCell ref="L28:M28"/>
    <mergeCell ref="N28:O28"/>
    <mergeCell ref="A29:B29"/>
    <mergeCell ref="C29:E29"/>
    <mergeCell ref="I29:K29"/>
    <mergeCell ref="L29:M29"/>
    <mergeCell ref="N29:O29"/>
    <mergeCell ref="A26:B26"/>
    <mergeCell ref="C26:E26"/>
    <mergeCell ref="I26:K26"/>
    <mergeCell ref="L26:M26"/>
    <mergeCell ref="N26:O26"/>
    <mergeCell ref="A27:B27"/>
    <mergeCell ref="C27:E27"/>
    <mergeCell ref="I27:K27"/>
    <mergeCell ref="L27:M27"/>
    <mergeCell ref="N27:O27"/>
    <mergeCell ref="A24:B24"/>
    <mergeCell ref="C24:E24"/>
    <mergeCell ref="I24:K24"/>
    <mergeCell ref="L24:M24"/>
    <mergeCell ref="N24:O24"/>
    <mergeCell ref="A25:B25"/>
    <mergeCell ref="C25:E25"/>
    <mergeCell ref="I25:K25"/>
    <mergeCell ref="L25:M25"/>
    <mergeCell ref="N25:O25"/>
    <mergeCell ref="A22:B22"/>
    <mergeCell ref="C22:E22"/>
    <mergeCell ref="I22:K22"/>
    <mergeCell ref="L22:M22"/>
    <mergeCell ref="N22:O22"/>
    <mergeCell ref="A23:B23"/>
    <mergeCell ref="C23:E23"/>
    <mergeCell ref="I23:K23"/>
    <mergeCell ref="L23:M23"/>
    <mergeCell ref="N23:O23"/>
    <mergeCell ref="A20:B20"/>
    <mergeCell ref="C20:E20"/>
    <mergeCell ref="I20:K20"/>
    <mergeCell ref="L20:M20"/>
    <mergeCell ref="N20:O20"/>
    <mergeCell ref="A21:B21"/>
    <mergeCell ref="C21:E21"/>
    <mergeCell ref="I21:K21"/>
    <mergeCell ref="L21:M21"/>
    <mergeCell ref="N21:O21"/>
    <mergeCell ref="A18:B18"/>
    <mergeCell ref="C18:E18"/>
    <mergeCell ref="I18:K18"/>
    <mergeCell ref="L18:M18"/>
    <mergeCell ref="N18:O18"/>
    <mergeCell ref="A19:B19"/>
    <mergeCell ref="C19:E19"/>
    <mergeCell ref="I19:K19"/>
    <mergeCell ref="L19:M19"/>
    <mergeCell ref="N19:O19"/>
    <mergeCell ref="A16:B16"/>
    <mergeCell ref="C16:E16"/>
    <mergeCell ref="I16:K16"/>
    <mergeCell ref="L16:M16"/>
    <mergeCell ref="N16:O16"/>
    <mergeCell ref="A17:B17"/>
    <mergeCell ref="C17:E17"/>
    <mergeCell ref="I17:K17"/>
    <mergeCell ref="L17:M17"/>
    <mergeCell ref="N17:O17"/>
    <mergeCell ref="A14:B14"/>
    <mergeCell ref="C14:E14"/>
    <mergeCell ref="I14:K14"/>
    <mergeCell ref="L14:M14"/>
    <mergeCell ref="N14:O14"/>
    <mergeCell ref="A15:B15"/>
    <mergeCell ref="C15:E15"/>
    <mergeCell ref="I15:K15"/>
    <mergeCell ref="L15:M15"/>
    <mergeCell ref="N15:O15"/>
    <mergeCell ref="A12:B12"/>
    <mergeCell ref="C12:E12"/>
    <mergeCell ref="I12:K12"/>
    <mergeCell ref="L12:M12"/>
    <mergeCell ref="N12:O12"/>
    <mergeCell ref="A13:B13"/>
    <mergeCell ref="C13:E13"/>
    <mergeCell ref="I13:K13"/>
    <mergeCell ref="L13:M13"/>
    <mergeCell ref="N13:O13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O6:P6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A62:G62"/>
    <mergeCell ref="I62:K62"/>
    <mergeCell ref="L62:M62"/>
    <mergeCell ref="N62:O62"/>
    <mergeCell ref="A63:G63"/>
    <mergeCell ref="I63:K63"/>
    <mergeCell ref="L63:M63"/>
    <mergeCell ref="N63:O63"/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</mergeCells>
  <phoneticPr fontId="7" type="noConversion"/>
  <pageMargins left="0.7" right="0.7" top="0.75" bottom="0.75" header="0.3" footer="0.3"/>
  <pageSetup paperSize="9"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거래명세서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2026-06-03T03:43:06Z</dcterms:created>
  <dcterms:modified xsi:type="dcterms:W3CDTF">2026-06-03T05:09:54Z</dcterms:modified>
  <cp:category/>
</cp:coreProperties>
</file>