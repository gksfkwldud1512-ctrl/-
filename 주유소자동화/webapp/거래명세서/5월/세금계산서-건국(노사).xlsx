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03576F7A-2425-4F87-BC91-B5B4DCC5582F}" xr6:coauthVersionLast="47" xr6:coauthVersionMax="47" xr10:uidLastSave="{00000000-0000-0000-0000-000000000000}"/>
  <bookViews>
    <workbookView xWindow="28680" yWindow="-120" windowWidth="29040" windowHeight="15840" xr2:uid="{49FE1D92-F5C7-4531-A91D-719321AE4E77}"/>
  </bookViews>
  <sheets>
    <sheet name="Report_Make_Date_2026-02-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" l="1"/>
  <c r="L9" i="1" l="1"/>
  <c r="N9" i="1" s="1"/>
</calcChain>
</file>

<file path=xl/sharedStrings.xml><?xml version="1.0" encoding="utf-8"?>
<sst xmlns="http://schemas.openxmlformats.org/spreadsheetml/2006/main" count="42" uniqueCount="36">
  <si>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</si>
  <si>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</si>
  <si>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</si>
  <si>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</si>
  <si>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</si>
  <si>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</si>
  <si>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</si>
  <si>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</si>
  <si>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</si>
  <si>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</si>
  <si>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</si>
  <si>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</si>
  <si>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</si>
  <si>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</si>
  <si>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</si>
  <si>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</si>
  <si>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</si>
  <si>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207-82-02153</t>
  </si>
  <si>
    <t>(학)건국대학교건국유업.건국햄</t>
  </si>
  <si>
    <t>박경철</t>
  </si>
  <si>
    <t xml:space="preserve"> </t>
  </si>
  <si>
    <t>제조업,서비스,도소매</t>
  </si>
  <si>
    <t>유제품식육제품낙농관련서비스사료과자류</t>
  </si>
  <si>
    <t>대상(차량)</t>
  </si>
  <si>
    <t>판매일자</t>
  </si>
  <si>
    <t>품목</t>
  </si>
  <si>
    <t>규격</t>
  </si>
  <si>
    <t>수량</t>
  </si>
  <si>
    <t>단가</t>
  </si>
  <si>
    <t>공급가</t>
  </si>
  <si>
    <t>부가세</t>
  </si>
  <si>
    <t>판매금액</t>
  </si>
  <si>
    <t>L</t>
  </si>
  <si>
    <t>휘발유</t>
    <phoneticPr fontId="2" type="noConversion"/>
  </si>
  <si>
    <t>노사TFT</t>
    <phoneticPr fontId="2" type="noConversion"/>
  </si>
  <si>
    <t>4/13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</si>
</sst>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499260-3ACE-4362-8E1F-10DC803C4A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FAB1-7083-4E8F-A567-D27345D48E5A}">
  <dimension ref="A1:P9"/>
  <sheetViews>
    <sheetView tabSelected="1" workbookViewId="0">
      <selection activeCell="L11" sqref="L11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23" t="s">
        <v>1</v>
      </c>
      <c r="N1" s="13"/>
      <c r="O1" s="24">
        <v>46057</v>
      </c>
      <c r="P1" s="25"/>
    </row>
    <row r="2" spans="1:16" ht="18" customHeight="1" x14ac:dyDescent="0.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  <c r="M2" s="23" t="s">
        <v>2</v>
      </c>
      <c r="N2" s="13"/>
      <c r="O2" s="23"/>
      <c r="P2" s="25"/>
    </row>
    <row r="3" spans="1:16" ht="27" customHeight="1" x14ac:dyDescent="0.3">
      <c r="A3" s="8" t="s">
        <v>3</v>
      </c>
      <c r="B3" s="2" t="s">
        <v>5</v>
      </c>
      <c r="C3" s="11" t="s">
        <v>11</v>
      </c>
      <c r="D3" s="12"/>
      <c r="E3" s="12"/>
      <c r="F3" s="12"/>
      <c r="G3" s="12"/>
      <c r="H3" s="13"/>
      <c r="I3" s="8" t="s">
        <v>4</v>
      </c>
      <c r="J3" s="2" t="s">
        <v>5</v>
      </c>
      <c r="K3" s="11" t="s">
        <v>17</v>
      </c>
      <c r="L3" s="12"/>
      <c r="M3" s="12"/>
      <c r="N3" s="12"/>
      <c r="O3" s="12"/>
      <c r="P3" s="13"/>
    </row>
    <row r="4" spans="1:16" ht="27" customHeight="1" x14ac:dyDescent="0.3">
      <c r="A4" s="9"/>
      <c r="B4" s="2" t="s">
        <v>6</v>
      </c>
      <c r="C4" s="14" t="s">
        <v>12</v>
      </c>
      <c r="D4" s="15"/>
      <c r="E4" s="15"/>
      <c r="F4" s="16"/>
      <c r="G4" s="3" t="s">
        <v>7</v>
      </c>
      <c r="H4" s="1" t="s">
        <v>13</v>
      </c>
      <c r="I4" s="9"/>
      <c r="J4" s="2" t="s">
        <v>6</v>
      </c>
      <c r="K4" s="14" t="s">
        <v>18</v>
      </c>
      <c r="L4" s="15"/>
      <c r="M4" s="15"/>
      <c r="N4" s="16"/>
      <c r="O4" s="3" t="s">
        <v>7</v>
      </c>
      <c r="P4" s="1" t="s">
        <v>19</v>
      </c>
    </row>
    <row r="5" spans="1:16" ht="27" customHeight="1" x14ac:dyDescent="0.3">
      <c r="A5" s="9"/>
      <c r="B5" s="2" t="s">
        <v>8</v>
      </c>
      <c r="C5" s="14" t="s">
        <v>14</v>
      </c>
      <c r="D5" s="15"/>
      <c r="E5" s="15"/>
      <c r="F5" s="15"/>
      <c r="G5" s="15"/>
      <c r="H5" s="16"/>
      <c r="I5" s="9"/>
      <c r="J5" s="2" t="s">
        <v>8</v>
      </c>
      <c r="K5" s="14" t="s">
        <v>20</v>
      </c>
      <c r="L5" s="15"/>
      <c r="M5" s="15"/>
      <c r="N5" s="15"/>
      <c r="O5" s="15"/>
      <c r="P5" s="16"/>
    </row>
    <row r="6" spans="1:16" ht="27" customHeight="1" x14ac:dyDescent="0.3">
      <c r="A6" s="10"/>
      <c r="B6" s="3" t="s">
        <v>9</v>
      </c>
      <c r="C6" s="14" t="s">
        <v>15</v>
      </c>
      <c r="D6" s="15"/>
      <c r="E6" s="16"/>
      <c r="F6" s="3" t="s">
        <v>10</v>
      </c>
      <c r="G6" s="14" t="s">
        <v>16</v>
      </c>
      <c r="H6" s="16"/>
      <c r="I6" s="10"/>
      <c r="J6" s="3" t="s">
        <v>9</v>
      </c>
      <c r="K6" s="14" t="s">
        <v>21</v>
      </c>
      <c r="L6" s="15"/>
      <c r="M6" s="16"/>
      <c r="N6" s="3" t="s">
        <v>10</v>
      </c>
      <c r="O6" s="14" t="s">
        <v>22</v>
      </c>
      <c r="P6" s="16"/>
    </row>
    <row r="7" spans="1:16" ht="6.95" customHeight="1" x14ac:dyDescent="0.3"/>
    <row r="8" spans="1:16" x14ac:dyDescent="0.3">
      <c r="A8" s="26" t="s">
        <v>23</v>
      </c>
      <c r="B8" s="26"/>
      <c r="C8" s="26" t="s">
        <v>24</v>
      </c>
      <c r="D8" s="26"/>
      <c r="E8" s="26"/>
      <c r="F8" s="4" t="s">
        <v>25</v>
      </c>
      <c r="G8" s="4" t="s">
        <v>26</v>
      </c>
      <c r="H8" s="4" t="s">
        <v>27</v>
      </c>
      <c r="I8" s="26" t="s">
        <v>28</v>
      </c>
      <c r="J8" s="26"/>
      <c r="K8" s="26"/>
      <c r="L8" s="26" t="s">
        <v>29</v>
      </c>
      <c r="M8" s="26"/>
      <c r="N8" s="26" t="s">
        <v>30</v>
      </c>
      <c r="O8" s="26"/>
      <c r="P8" s="4" t="s">
        <v>31</v>
      </c>
    </row>
    <row r="9" spans="1:16" x14ac:dyDescent="0.3">
      <c r="A9" s="27" t="s">
        <v>34</v>
      </c>
      <c r="B9" s="26"/>
      <c r="C9" s="27" t="s">
        <v>35</v>
      </c>
      <c r="D9" s="26"/>
      <c r="E9" s="26"/>
      <c r="F9" s="5" t="s">
        <v>33</v>
      </c>
      <c r="G9" s="4" t="s">
        <v>32</v>
      </c>
      <c r="H9" s="6">
        <v>300</v>
      </c>
      <c r="I9" s="28">
        <v>2034</v>
      </c>
      <c r="J9" s="29"/>
      <c r="K9" s="29"/>
      <c r="L9" s="28">
        <f>P9/1.1</f>
        <v>499254.54545454541</v>
      </c>
      <c r="M9" s="29"/>
      <c r="N9" s="28">
        <f>P9-L9</f>
        <v>49925.454545454588</v>
      </c>
      <c r="O9" s="29"/>
      <c r="P9" s="7">
        <f>H9*I9*0.9</f>
        <v>549180</v>
      </c>
    </row>
  </sheetData>
  <mergeCells count="27">
    <mergeCell ref="A9:B9"/>
    <mergeCell ref="C9:E9"/>
    <mergeCell ref="I9:K9"/>
    <mergeCell ref="L9:M9"/>
    <mergeCell ref="N9:O9"/>
    <mergeCell ref="A8:B8"/>
    <mergeCell ref="C8:E8"/>
    <mergeCell ref="I8:K8"/>
    <mergeCell ref="L8:M8"/>
    <mergeCell ref="N8:O8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  <mergeCell ref="K4:N4"/>
    <mergeCell ref="C5:H5"/>
    <mergeCell ref="K5:P5"/>
    <mergeCell ref="C6:E6"/>
    <mergeCell ref="G6:H6"/>
    <mergeCell ref="K6:M6"/>
    <mergeCell ref="O6:P6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2026-02-04T07:40:30Z</dcterms:created>
  <dcterms:modified xsi:type="dcterms:W3CDTF">2026-06-03T05:15:22Z</dcterms:modified>
</cp:coreProperties>
</file>