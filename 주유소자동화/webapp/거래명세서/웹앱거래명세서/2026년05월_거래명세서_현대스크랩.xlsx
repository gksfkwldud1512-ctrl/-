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05105177-DDC5-4C07-AE58-50E99CA8B25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현대스크랩" sheetId="1" r:id="rId1"/>
    <sheet name="명신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4" i="2" l="1"/>
  <c r="O14" i="2"/>
  <c r="N14" i="2"/>
  <c r="M14" i="2"/>
  <c r="L14" i="2"/>
  <c r="H14" i="2"/>
  <c r="P54" i="1"/>
  <c r="N54" i="1"/>
  <c r="L54" i="1"/>
  <c r="Q53" i="1"/>
  <c r="P53" i="1"/>
  <c r="O53" i="1"/>
  <c r="N53" i="1"/>
  <c r="M53" i="1"/>
  <c r="L53" i="1"/>
  <c r="H53" i="1"/>
</calcChain>
</file>

<file path=xl/sharedStrings.xml><?xml version="1.0" encoding="utf-8"?>
<sst xmlns="http://schemas.openxmlformats.org/spreadsheetml/2006/main" count="284" uniqueCount="73">
  <si>
    <t>거 래 명 세 서(공급받는자용)</t>
  </si>
  <si>
    <t>작성일자</t>
  </si>
  <si>
    <t>2026-05-28</t>
  </si>
  <si>
    <t>일련번호</t>
  </si>
  <si>
    <t/>
  </si>
  <si>
    <t>공
급
자</t>
  </si>
  <si>
    <t>등   록
번   호</t>
  </si>
  <si>
    <t>303-81-64391</t>
  </si>
  <si>
    <t>공
급
받
는
자</t>
  </si>
  <si>
    <t>126-81-90216</t>
  </si>
  <si>
    <t>상   호
법인명</t>
  </si>
  <si>
    <t>(주)미소주유소</t>
  </si>
  <si>
    <t>성명</t>
  </si>
  <si>
    <t>신정자</t>
  </si>
  <si>
    <t>현대스크랩</t>
  </si>
  <si>
    <t>총무님</t>
  </si>
  <si>
    <t>사업장
주   소</t>
  </si>
  <si>
    <t xml:space="preserve">충북 음성군 대소면 대금로 199  </t>
  </si>
  <si>
    <t>부산시 사상구 삼덕로5번길 148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</si>
  <si>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</si>
  <si>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</si>
  <si>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</si>
  <si>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</si>
  <si>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</si>
  <si>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</si>
  <si>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</si>
  <si>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</si>
  <si>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</si>
  <si>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</si>
  <si>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</si>
  <si>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</si>
  <si>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</si>
  <si>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</si>
  <si>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296568</t>
  </si>
  <si>
    <t>경유</t>
  </si>
  <si>
    <t>L</t>
  </si>
  <si>
    <t>2026/05/08</t>
  </si>
  <si>
    <t>2026/05/15</t>
  </si>
  <si>
    <t>2026/05/18</t>
  </si>
  <si>
    <t>2026/05/20</t>
  </si>
  <si>
    <t>2026/05/23</t>
  </si>
  <si>
    <t>2026/05/27</t>
  </si>
  <si>
    <t>296568 계</t>
  </si>
  <si>
    <t>2026/05/01</t>
  </si>
  <si>
    <t>347605</t>
  </si>
  <si>
    <t>휘발유</t>
  </si>
  <si>
    <t>2026/05/09</t>
  </si>
  <si>
    <t>2026/05/24</t>
  </si>
  <si>
    <t>347605 계</t>
  </si>
  <si>
    <t>2026/05/06</t>
  </si>
  <si>
    <t>899064</t>
  </si>
  <si>
    <t>2026/05/13</t>
  </si>
  <si>
    <t>899064 계</t>
  </si>
  <si>
    <t>1359139</t>
  </si>
  <si>
    <t>2026/05/22</t>
  </si>
  <si>
    <t>1359139 계</t>
  </si>
  <si>
    <t>배달</t>
  </si>
  <si>
    <t>2026/05/11</t>
  </si>
  <si>
    <t>2026/05/25</t>
  </si>
  <si>
    <t>2026/05/29</t>
  </si>
  <si>
    <t>배달 계</t>
  </si>
  <si>
    <t>2026/05/02</t>
  </si>
  <si>
    <t>021429</t>
  </si>
  <si>
    <t>2026/05/16</t>
  </si>
  <si>
    <t>2026/05/30</t>
  </si>
  <si>
    <t>021429 계</t>
  </si>
  <si>
    <t>총합계</t>
  </si>
  <si>
    <t>675-87-02569</t>
  </si>
  <si>
    <t>주식회사 명신</t>
  </si>
  <si>
    <t>이정길</t>
  </si>
  <si>
    <t>836997</t>
  </si>
  <si>
    <t>2026/05/21</t>
  </si>
  <si>
    <t>2026/05/28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</si>
</sst>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20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14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4"/>
  <sheetViews>
    <sheetView topLeftCell="A24" workbookViewId="0">
      <selection activeCell="S44" sqref="S44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 t="s">
        <v>1</v>
      </c>
      <c r="N1" s="13"/>
      <c r="O1" s="13" t="s">
        <v>2</v>
      </c>
      <c r="P1" s="13"/>
    </row>
    <row r="2" spans="1:16" ht="18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 t="s">
        <v>3</v>
      </c>
      <c r="N2" s="13"/>
      <c r="O2" s="13" t="s">
        <v>4</v>
      </c>
      <c r="P2" s="13"/>
    </row>
    <row r="3" spans="1:16" ht="27" customHeight="1" x14ac:dyDescent="0.3">
      <c r="A3" s="15" t="s">
        <v>5</v>
      </c>
      <c r="B3" s="2" t="s">
        <v>6</v>
      </c>
      <c r="C3" s="14" t="s">
        <v>7</v>
      </c>
      <c r="D3" s="14"/>
      <c r="E3" s="14"/>
      <c r="F3" s="14"/>
      <c r="G3" s="14"/>
      <c r="H3" s="14"/>
      <c r="I3" s="15" t="s">
        <v>8</v>
      </c>
      <c r="J3" s="2" t="s">
        <v>6</v>
      </c>
      <c r="K3" s="14" t="s">
        <v>9</v>
      </c>
      <c r="L3" s="14"/>
      <c r="M3" s="14"/>
      <c r="N3" s="14"/>
      <c r="O3" s="14"/>
      <c r="P3" s="14"/>
    </row>
    <row r="4" spans="1:16" ht="27" customHeight="1" x14ac:dyDescent="0.3">
      <c r="A4" s="15"/>
      <c r="B4" s="2" t="s">
        <v>10</v>
      </c>
      <c r="C4" s="16" t="s">
        <v>11</v>
      </c>
      <c r="D4" s="16"/>
      <c r="E4" s="16"/>
      <c r="F4" s="16"/>
      <c r="G4" s="1" t="s">
        <v>12</v>
      </c>
      <c r="H4" s="3" t="s">
        <v>13</v>
      </c>
      <c r="I4" s="15"/>
      <c r="J4" s="2" t="s">
        <v>10</v>
      </c>
      <c r="K4" s="16" t="s">
        <v>14</v>
      </c>
      <c r="L4" s="16"/>
      <c r="M4" s="16"/>
      <c r="N4" s="16"/>
      <c r="O4" s="1" t="s">
        <v>12</v>
      </c>
      <c r="P4" s="2" t="s">
        <v>15</v>
      </c>
    </row>
    <row r="5" spans="1:16" ht="27" customHeight="1" x14ac:dyDescent="0.3">
      <c r="A5" s="15"/>
      <c r="B5" s="2" t="s">
        <v>16</v>
      </c>
      <c r="C5" s="16" t="s">
        <v>17</v>
      </c>
      <c r="D5" s="16"/>
      <c r="E5" s="16"/>
      <c r="F5" s="16"/>
      <c r="G5" s="16"/>
      <c r="H5" s="16"/>
      <c r="I5" s="15"/>
      <c r="J5" s="2" t="s">
        <v>16</v>
      </c>
      <c r="K5" s="16" t="s">
        <v>18</v>
      </c>
      <c r="L5" s="16"/>
      <c r="M5" s="16"/>
      <c r="N5" s="16"/>
      <c r="O5" s="16"/>
      <c r="P5" s="16"/>
    </row>
    <row r="6" spans="1:16" ht="27" customHeight="1" x14ac:dyDescent="0.3">
      <c r="A6" s="15"/>
      <c r="B6" s="1" t="s">
        <v>19</v>
      </c>
      <c r="C6" s="16" t="s">
        <v>20</v>
      </c>
      <c r="D6" s="16"/>
      <c r="E6" s="16"/>
      <c r="F6" s="1" t="s">
        <v>21</v>
      </c>
      <c r="G6" s="16" t="s">
        <v>22</v>
      </c>
      <c r="H6" s="16"/>
      <c r="I6" s="15"/>
      <c r="J6" s="1" t="s">
        <v>19</v>
      </c>
      <c r="K6" s="13" t="s">
        <v>4</v>
      </c>
      <c r="L6" s="13"/>
      <c r="M6" s="13"/>
      <c r="N6" s="1" t="s">
        <v>21</v>
      </c>
      <c r="O6" s="13" t="s">
        <v>4</v>
      </c>
      <c r="P6" s="13"/>
    </row>
    <row r="7" spans="1:16" ht="6.95" customHeight="1" x14ac:dyDescent="0.3"/>
    <row r="8" spans="1:16" x14ac:dyDescent="0.3">
      <c r="A8" s="17" t="s">
        <v>23</v>
      </c>
      <c r="B8" s="17"/>
      <c r="C8" s="17" t="s">
        <v>24</v>
      </c>
      <c r="D8" s="17"/>
      <c r="E8" s="17"/>
      <c r="F8" s="4" t="s">
        <v>25</v>
      </c>
      <c r="G8" s="4" t="s">
        <v>26</v>
      </c>
      <c r="H8" s="4" t="s">
        <v>27</v>
      </c>
      <c r="I8" s="17" t="s">
        <v>28</v>
      </c>
      <c r="J8" s="17"/>
      <c r="K8" s="17"/>
      <c r="L8" s="17" t="s">
        <v>29</v>
      </c>
      <c r="M8" s="17"/>
      <c r="N8" s="17" t="s">
        <v>30</v>
      </c>
      <c r="O8" s="17"/>
      <c r="P8" s="4" t="s">
        <v>31</v>
      </c>
    </row>
    <row r="9" spans="1:16" x14ac:dyDescent="0.3">
      <c r="A9" s="17" t="s">
        <v>32</v>
      </c>
      <c r="B9" s="17"/>
      <c r="C9" s="17" t="s">
        <v>33</v>
      </c>
      <c r="D9" s="17"/>
      <c r="E9" s="17"/>
      <c r="F9" s="4" t="s">
        <v>34</v>
      </c>
      <c r="G9" s="4" t="s">
        <v>35</v>
      </c>
      <c r="H9" s="5">
        <v>35</v>
      </c>
      <c r="I9" s="18">
        <v>1994</v>
      </c>
      <c r="J9" s="18"/>
      <c r="K9" s="18"/>
      <c r="L9" s="18">
        <v>63445</v>
      </c>
      <c r="M9" s="18"/>
      <c r="N9" s="18">
        <v>6345</v>
      </c>
      <c r="O9" s="18"/>
      <c r="P9" s="6">
        <v>69790</v>
      </c>
    </row>
    <row r="10" spans="1:16" x14ac:dyDescent="0.3">
      <c r="A10" s="17" t="s">
        <v>36</v>
      </c>
      <c r="B10" s="17"/>
      <c r="C10" s="17" t="s">
        <v>33</v>
      </c>
      <c r="D10" s="17"/>
      <c r="E10" s="17"/>
      <c r="F10" s="4" t="s">
        <v>34</v>
      </c>
      <c r="G10" s="4" t="s">
        <v>35</v>
      </c>
      <c r="H10" s="5">
        <v>38</v>
      </c>
      <c r="I10" s="18">
        <v>1994</v>
      </c>
      <c r="J10" s="18"/>
      <c r="K10" s="18"/>
      <c r="L10" s="18">
        <v>68884</v>
      </c>
      <c r="M10" s="18"/>
      <c r="N10" s="18">
        <v>6888</v>
      </c>
      <c r="O10" s="18"/>
      <c r="P10" s="6">
        <v>75772</v>
      </c>
    </row>
    <row r="11" spans="1:16" x14ac:dyDescent="0.3">
      <c r="A11" s="17" t="s">
        <v>37</v>
      </c>
      <c r="B11" s="17"/>
      <c r="C11" s="17" t="s">
        <v>33</v>
      </c>
      <c r="D11" s="17"/>
      <c r="E11" s="17"/>
      <c r="F11" s="4" t="s">
        <v>34</v>
      </c>
      <c r="G11" s="4" t="s">
        <v>35</v>
      </c>
      <c r="H11" s="5">
        <v>36</v>
      </c>
      <c r="I11" s="18">
        <v>1999</v>
      </c>
      <c r="J11" s="18"/>
      <c r="K11" s="18"/>
      <c r="L11" s="18">
        <v>65422</v>
      </c>
      <c r="M11" s="18"/>
      <c r="N11" s="18">
        <v>6542</v>
      </c>
      <c r="O11" s="18"/>
      <c r="P11" s="6">
        <v>71964</v>
      </c>
    </row>
    <row r="12" spans="1:16" x14ac:dyDescent="0.3">
      <c r="A12" s="17" t="s">
        <v>38</v>
      </c>
      <c r="B12" s="17"/>
      <c r="C12" s="17" t="s">
        <v>33</v>
      </c>
      <c r="D12" s="17"/>
      <c r="E12" s="17"/>
      <c r="F12" s="4" t="s">
        <v>34</v>
      </c>
      <c r="G12" s="4" t="s">
        <v>35</v>
      </c>
      <c r="H12" s="5">
        <v>36</v>
      </c>
      <c r="I12" s="18">
        <v>1999</v>
      </c>
      <c r="J12" s="18"/>
      <c r="K12" s="18"/>
      <c r="L12" s="18">
        <v>65422</v>
      </c>
      <c r="M12" s="18"/>
      <c r="N12" s="18">
        <v>6542</v>
      </c>
      <c r="O12" s="18"/>
      <c r="P12" s="6">
        <v>71964</v>
      </c>
    </row>
    <row r="13" spans="1:16" x14ac:dyDescent="0.3">
      <c r="A13" s="17" t="s">
        <v>39</v>
      </c>
      <c r="B13" s="17"/>
      <c r="C13" s="17" t="s">
        <v>33</v>
      </c>
      <c r="D13" s="17"/>
      <c r="E13" s="17"/>
      <c r="F13" s="4" t="s">
        <v>34</v>
      </c>
      <c r="G13" s="4" t="s">
        <v>35</v>
      </c>
      <c r="H13" s="5">
        <v>31</v>
      </c>
      <c r="I13" s="18">
        <v>1999</v>
      </c>
      <c r="J13" s="18"/>
      <c r="K13" s="18"/>
      <c r="L13" s="18">
        <v>56335</v>
      </c>
      <c r="M13" s="18"/>
      <c r="N13" s="18">
        <v>5634</v>
      </c>
      <c r="O13" s="18"/>
      <c r="P13" s="6">
        <v>61969</v>
      </c>
    </row>
    <row r="14" spans="1:16" x14ac:dyDescent="0.3">
      <c r="A14" s="17" t="s">
        <v>40</v>
      </c>
      <c r="B14" s="17"/>
      <c r="C14" s="17" t="s">
        <v>33</v>
      </c>
      <c r="D14" s="17"/>
      <c r="E14" s="17"/>
      <c r="F14" s="4" t="s">
        <v>34</v>
      </c>
      <c r="G14" s="4" t="s">
        <v>35</v>
      </c>
      <c r="H14" s="5">
        <v>35</v>
      </c>
      <c r="I14" s="18">
        <v>1999</v>
      </c>
      <c r="J14" s="18"/>
      <c r="K14" s="18"/>
      <c r="L14" s="18">
        <v>63605</v>
      </c>
      <c r="M14" s="18"/>
      <c r="N14" s="18">
        <v>6360</v>
      </c>
      <c r="O14" s="18"/>
      <c r="P14" s="6">
        <v>69965</v>
      </c>
    </row>
    <row r="15" spans="1:16" x14ac:dyDescent="0.3">
      <c r="A15" s="17" t="s">
        <v>41</v>
      </c>
      <c r="B15" s="17"/>
      <c r="C15" s="17" t="s">
        <v>33</v>
      </c>
      <c r="D15" s="17"/>
      <c r="E15" s="17"/>
      <c r="F15" s="4" t="s">
        <v>34</v>
      </c>
      <c r="G15" s="4" t="s">
        <v>35</v>
      </c>
      <c r="H15" s="5">
        <v>39</v>
      </c>
      <c r="I15" s="18">
        <v>1999</v>
      </c>
      <c r="J15" s="18"/>
      <c r="K15" s="18"/>
      <c r="L15" s="18">
        <v>70874</v>
      </c>
      <c r="M15" s="18"/>
      <c r="N15" s="18">
        <v>7087</v>
      </c>
      <c r="O15" s="18"/>
      <c r="P15" s="6">
        <v>77961</v>
      </c>
    </row>
    <row r="16" spans="1:16" x14ac:dyDescent="0.3">
      <c r="A16" s="17" t="s">
        <v>4</v>
      </c>
      <c r="B16" s="17"/>
      <c r="C16" s="17" t="s">
        <v>4</v>
      </c>
      <c r="D16" s="17"/>
      <c r="E16" s="17"/>
      <c r="F16" s="7" t="s">
        <v>42</v>
      </c>
      <c r="G16" s="7" t="s">
        <v>35</v>
      </c>
      <c r="H16" s="8">
        <v>250</v>
      </c>
      <c r="I16" s="19">
        <v>0</v>
      </c>
      <c r="J16" s="19"/>
      <c r="K16" s="19"/>
      <c r="L16" s="20">
        <v>453987</v>
      </c>
      <c r="M16" s="20"/>
      <c r="N16" s="20">
        <v>45398</v>
      </c>
      <c r="O16" s="20"/>
      <c r="P16" s="9">
        <v>499385</v>
      </c>
    </row>
    <row r="17" spans="1:16" x14ac:dyDescent="0.3">
      <c r="A17" s="17" t="s">
        <v>43</v>
      </c>
      <c r="B17" s="17"/>
      <c r="C17" s="17" t="s">
        <v>44</v>
      </c>
      <c r="D17" s="17"/>
      <c r="E17" s="17"/>
      <c r="F17" s="4" t="s">
        <v>45</v>
      </c>
      <c r="G17" s="4" t="s">
        <v>35</v>
      </c>
      <c r="H17" s="5">
        <v>19</v>
      </c>
      <c r="I17" s="18">
        <v>1984</v>
      </c>
      <c r="J17" s="18"/>
      <c r="K17" s="18"/>
      <c r="L17" s="18">
        <v>35477</v>
      </c>
      <c r="M17" s="18"/>
      <c r="N17" s="18">
        <v>3548</v>
      </c>
      <c r="O17" s="18"/>
      <c r="P17" s="6">
        <v>39025</v>
      </c>
    </row>
    <row r="18" spans="1:16" x14ac:dyDescent="0.3">
      <c r="A18" s="17" t="s">
        <v>46</v>
      </c>
      <c r="B18" s="17"/>
      <c r="C18" s="17" t="s">
        <v>44</v>
      </c>
      <c r="D18" s="17"/>
      <c r="E18" s="17"/>
      <c r="F18" s="4" t="s">
        <v>45</v>
      </c>
      <c r="G18" s="4" t="s">
        <v>35</v>
      </c>
      <c r="H18" s="5">
        <v>19</v>
      </c>
      <c r="I18" s="18">
        <v>1984</v>
      </c>
      <c r="J18" s="18"/>
      <c r="K18" s="18"/>
      <c r="L18" s="18">
        <v>35477</v>
      </c>
      <c r="M18" s="18"/>
      <c r="N18" s="18">
        <v>3548</v>
      </c>
      <c r="O18" s="18"/>
      <c r="P18" s="6">
        <v>39025</v>
      </c>
    </row>
    <row r="19" spans="1:16" x14ac:dyDescent="0.3">
      <c r="A19" s="17" t="s">
        <v>47</v>
      </c>
      <c r="B19" s="17"/>
      <c r="C19" s="17" t="s">
        <v>44</v>
      </c>
      <c r="D19" s="17"/>
      <c r="E19" s="17"/>
      <c r="F19" s="4" t="s">
        <v>45</v>
      </c>
      <c r="G19" s="4" t="s">
        <v>35</v>
      </c>
      <c r="H19" s="5">
        <v>19</v>
      </c>
      <c r="I19" s="18">
        <v>1984</v>
      </c>
      <c r="J19" s="18"/>
      <c r="K19" s="18"/>
      <c r="L19" s="18">
        <v>35477</v>
      </c>
      <c r="M19" s="18"/>
      <c r="N19" s="18">
        <v>3548</v>
      </c>
      <c r="O19" s="18"/>
      <c r="P19" s="6">
        <v>39025</v>
      </c>
    </row>
    <row r="20" spans="1:16" x14ac:dyDescent="0.3">
      <c r="A20" s="17" t="s">
        <v>4</v>
      </c>
      <c r="B20" s="17"/>
      <c r="C20" s="17" t="s">
        <v>4</v>
      </c>
      <c r="D20" s="17"/>
      <c r="E20" s="17"/>
      <c r="F20" s="7" t="s">
        <v>48</v>
      </c>
      <c r="G20" s="7" t="s">
        <v>35</v>
      </c>
      <c r="H20" s="8">
        <v>57</v>
      </c>
      <c r="I20" s="19">
        <v>0</v>
      </c>
      <c r="J20" s="19"/>
      <c r="K20" s="19"/>
      <c r="L20" s="20">
        <v>106431</v>
      </c>
      <c r="M20" s="20"/>
      <c r="N20" s="20">
        <v>10644</v>
      </c>
      <c r="O20" s="20"/>
      <c r="P20" s="9">
        <v>117075</v>
      </c>
    </row>
    <row r="21" spans="1:16" x14ac:dyDescent="0.3">
      <c r="A21" s="17" t="s">
        <v>49</v>
      </c>
      <c r="B21" s="17"/>
      <c r="C21" s="17" t="s">
        <v>50</v>
      </c>
      <c r="D21" s="17"/>
      <c r="E21" s="17"/>
      <c r="F21" s="4" t="s">
        <v>34</v>
      </c>
      <c r="G21" s="4" t="s">
        <v>35</v>
      </c>
      <c r="H21" s="5">
        <v>258</v>
      </c>
      <c r="I21" s="18">
        <v>1994</v>
      </c>
      <c r="J21" s="18"/>
      <c r="K21" s="18"/>
      <c r="L21" s="18">
        <v>467684</v>
      </c>
      <c r="M21" s="18"/>
      <c r="N21" s="18">
        <v>46768</v>
      </c>
      <c r="O21" s="18"/>
      <c r="P21" s="6">
        <v>514452</v>
      </c>
    </row>
    <row r="22" spans="1:16" x14ac:dyDescent="0.3">
      <c r="A22" s="17" t="s">
        <v>51</v>
      </c>
      <c r="B22" s="17"/>
      <c r="C22" s="17" t="s">
        <v>50</v>
      </c>
      <c r="D22" s="17"/>
      <c r="E22" s="17"/>
      <c r="F22" s="4" t="s">
        <v>34</v>
      </c>
      <c r="G22" s="4" t="s">
        <v>35</v>
      </c>
      <c r="H22" s="5">
        <v>169</v>
      </c>
      <c r="I22" s="18">
        <v>1999</v>
      </c>
      <c r="J22" s="18"/>
      <c r="K22" s="18"/>
      <c r="L22" s="18">
        <v>307119</v>
      </c>
      <c r="M22" s="18"/>
      <c r="N22" s="18">
        <v>30712</v>
      </c>
      <c r="O22" s="18"/>
      <c r="P22" s="6">
        <v>337831</v>
      </c>
    </row>
    <row r="23" spans="1:16" x14ac:dyDescent="0.3">
      <c r="A23" s="17" t="s">
        <v>38</v>
      </c>
      <c r="B23" s="17"/>
      <c r="C23" s="17" t="s">
        <v>50</v>
      </c>
      <c r="D23" s="17"/>
      <c r="E23" s="17"/>
      <c r="F23" s="4" t="s">
        <v>34</v>
      </c>
      <c r="G23" s="4" t="s">
        <v>35</v>
      </c>
      <c r="H23" s="5">
        <v>262</v>
      </c>
      <c r="I23" s="18">
        <v>1999</v>
      </c>
      <c r="J23" s="18"/>
      <c r="K23" s="18"/>
      <c r="L23" s="18">
        <v>476125</v>
      </c>
      <c r="M23" s="18"/>
      <c r="N23" s="18">
        <v>47613</v>
      </c>
      <c r="O23" s="18"/>
      <c r="P23" s="6">
        <v>523738</v>
      </c>
    </row>
    <row r="24" spans="1:16" x14ac:dyDescent="0.3">
      <c r="A24" s="17" t="s">
        <v>4</v>
      </c>
      <c r="B24" s="17"/>
      <c r="C24" s="17" t="s">
        <v>4</v>
      </c>
      <c r="D24" s="17"/>
      <c r="E24" s="17"/>
      <c r="F24" s="7" t="s">
        <v>52</v>
      </c>
      <c r="G24" s="7" t="s">
        <v>35</v>
      </c>
      <c r="H24" s="8">
        <v>689</v>
      </c>
      <c r="I24" s="19">
        <v>0</v>
      </c>
      <c r="J24" s="19"/>
      <c r="K24" s="19"/>
      <c r="L24" s="20">
        <v>1250928</v>
      </c>
      <c r="M24" s="20"/>
      <c r="N24" s="20">
        <v>125093</v>
      </c>
      <c r="O24" s="20"/>
      <c r="P24" s="9">
        <v>1376021</v>
      </c>
    </row>
    <row r="25" spans="1:16" x14ac:dyDescent="0.3">
      <c r="A25" s="17" t="s">
        <v>36</v>
      </c>
      <c r="B25" s="17"/>
      <c r="C25" s="17" t="s">
        <v>53</v>
      </c>
      <c r="D25" s="17"/>
      <c r="E25" s="17"/>
      <c r="F25" s="4" t="s">
        <v>34</v>
      </c>
      <c r="G25" s="4" t="s">
        <v>35</v>
      </c>
      <c r="H25" s="5">
        <v>66</v>
      </c>
      <c r="I25" s="18">
        <v>1994</v>
      </c>
      <c r="J25" s="18"/>
      <c r="K25" s="18"/>
      <c r="L25" s="18">
        <v>119640</v>
      </c>
      <c r="M25" s="18"/>
      <c r="N25" s="18">
        <v>11964</v>
      </c>
      <c r="O25" s="18"/>
      <c r="P25" s="6">
        <v>131604</v>
      </c>
    </row>
    <row r="26" spans="1:16" x14ac:dyDescent="0.3">
      <c r="A26" s="17" t="s">
        <v>37</v>
      </c>
      <c r="B26" s="17"/>
      <c r="C26" s="17" t="s">
        <v>53</v>
      </c>
      <c r="D26" s="17"/>
      <c r="E26" s="17"/>
      <c r="F26" s="4" t="s">
        <v>34</v>
      </c>
      <c r="G26" s="4" t="s">
        <v>35</v>
      </c>
      <c r="H26" s="5">
        <v>56</v>
      </c>
      <c r="I26" s="18">
        <v>1999</v>
      </c>
      <c r="J26" s="18"/>
      <c r="K26" s="18"/>
      <c r="L26" s="18">
        <v>101767</v>
      </c>
      <c r="M26" s="18"/>
      <c r="N26" s="18">
        <v>10177</v>
      </c>
      <c r="O26" s="18"/>
      <c r="P26" s="6">
        <v>111944</v>
      </c>
    </row>
    <row r="27" spans="1:16" x14ac:dyDescent="0.3">
      <c r="A27" s="17" t="s">
        <v>54</v>
      </c>
      <c r="B27" s="17"/>
      <c r="C27" s="17" t="s">
        <v>53</v>
      </c>
      <c r="D27" s="17"/>
      <c r="E27" s="17"/>
      <c r="F27" s="4" t="s">
        <v>45</v>
      </c>
      <c r="G27" s="4" t="s">
        <v>35</v>
      </c>
      <c r="H27" s="5">
        <v>21</v>
      </c>
      <c r="I27" s="18">
        <v>1984</v>
      </c>
      <c r="J27" s="18"/>
      <c r="K27" s="18"/>
      <c r="L27" s="18">
        <v>37876</v>
      </c>
      <c r="M27" s="18"/>
      <c r="N27" s="18">
        <v>3788</v>
      </c>
      <c r="O27" s="18"/>
      <c r="P27" s="6">
        <v>41664</v>
      </c>
    </row>
    <row r="28" spans="1:16" x14ac:dyDescent="0.3">
      <c r="A28" s="17" t="s">
        <v>41</v>
      </c>
      <c r="B28" s="17"/>
      <c r="C28" s="17" t="s">
        <v>53</v>
      </c>
      <c r="D28" s="17"/>
      <c r="E28" s="17"/>
      <c r="F28" s="4" t="s">
        <v>34</v>
      </c>
      <c r="G28" s="4" t="s">
        <v>35</v>
      </c>
      <c r="H28" s="5">
        <v>50</v>
      </c>
      <c r="I28" s="18">
        <v>1999</v>
      </c>
      <c r="J28" s="18"/>
      <c r="K28" s="18"/>
      <c r="L28" s="18">
        <v>90864</v>
      </c>
      <c r="M28" s="18"/>
      <c r="N28" s="18">
        <v>9086</v>
      </c>
      <c r="O28" s="18"/>
      <c r="P28" s="6">
        <v>99950</v>
      </c>
    </row>
    <row r="29" spans="1:16" x14ac:dyDescent="0.3">
      <c r="A29" s="17" t="s">
        <v>4</v>
      </c>
      <c r="B29" s="17"/>
      <c r="C29" s="17" t="s">
        <v>4</v>
      </c>
      <c r="D29" s="17"/>
      <c r="E29" s="17"/>
      <c r="F29" s="7" t="s">
        <v>55</v>
      </c>
      <c r="G29" s="7" t="s">
        <v>35</v>
      </c>
      <c r="H29" s="8">
        <v>193</v>
      </c>
      <c r="I29" s="19">
        <v>0</v>
      </c>
      <c r="J29" s="19"/>
      <c r="K29" s="19"/>
      <c r="L29" s="20">
        <v>350147</v>
      </c>
      <c r="M29" s="20"/>
      <c r="N29" s="20">
        <v>35015</v>
      </c>
      <c r="O29" s="20"/>
      <c r="P29" s="9">
        <v>385162</v>
      </c>
    </row>
    <row r="30" spans="1:16" x14ac:dyDescent="0.3">
      <c r="A30" s="17" t="s">
        <v>43</v>
      </c>
      <c r="B30" s="17"/>
      <c r="C30" s="17" t="s">
        <v>56</v>
      </c>
      <c r="D30" s="17"/>
      <c r="E30" s="17"/>
      <c r="F30" s="4" t="s">
        <v>34</v>
      </c>
      <c r="G30" s="4" t="s">
        <v>35</v>
      </c>
      <c r="H30" s="5">
        <v>461</v>
      </c>
      <c r="I30" s="18">
        <v>1994</v>
      </c>
      <c r="J30" s="18"/>
      <c r="K30" s="18"/>
      <c r="L30" s="18">
        <v>835667</v>
      </c>
      <c r="M30" s="18"/>
      <c r="N30" s="18">
        <v>83567</v>
      </c>
      <c r="O30" s="18"/>
      <c r="P30" s="6">
        <v>919234</v>
      </c>
    </row>
    <row r="31" spans="1:16" x14ac:dyDescent="0.3">
      <c r="A31" s="17" t="s">
        <v>32</v>
      </c>
      <c r="B31" s="17"/>
      <c r="C31" s="17" t="s">
        <v>56</v>
      </c>
      <c r="D31" s="17"/>
      <c r="E31" s="17"/>
      <c r="F31" s="4" t="s">
        <v>34</v>
      </c>
      <c r="G31" s="4" t="s">
        <v>35</v>
      </c>
      <c r="H31" s="5">
        <v>371</v>
      </c>
      <c r="I31" s="18">
        <v>1994</v>
      </c>
      <c r="J31" s="18"/>
      <c r="K31" s="18"/>
      <c r="L31" s="18">
        <v>672522</v>
      </c>
      <c r="M31" s="18"/>
      <c r="N31" s="18">
        <v>67252</v>
      </c>
      <c r="O31" s="18"/>
      <c r="P31" s="6">
        <v>739774</v>
      </c>
    </row>
    <row r="32" spans="1:16" x14ac:dyDescent="0.3">
      <c r="A32" s="17" t="s">
        <v>49</v>
      </c>
      <c r="B32" s="17"/>
      <c r="C32" s="17" t="s">
        <v>56</v>
      </c>
      <c r="D32" s="17"/>
      <c r="E32" s="17"/>
      <c r="F32" s="4" t="s">
        <v>34</v>
      </c>
      <c r="G32" s="4" t="s">
        <v>35</v>
      </c>
      <c r="H32" s="5">
        <v>383</v>
      </c>
      <c r="I32" s="18">
        <v>1994</v>
      </c>
      <c r="J32" s="18"/>
      <c r="K32" s="18"/>
      <c r="L32" s="18">
        <v>694275</v>
      </c>
      <c r="M32" s="18"/>
      <c r="N32" s="18">
        <v>69427</v>
      </c>
      <c r="O32" s="18"/>
      <c r="P32" s="6">
        <v>763702</v>
      </c>
    </row>
    <row r="33" spans="1:16" x14ac:dyDescent="0.3">
      <c r="A33" s="17" t="s">
        <v>36</v>
      </c>
      <c r="B33" s="17"/>
      <c r="C33" s="17" t="s">
        <v>56</v>
      </c>
      <c r="D33" s="17"/>
      <c r="E33" s="17"/>
      <c r="F33" s="4" t="s">
        <v>34</v>
      </c>
      <c r="G33" s="4" t="s">
        <v>35</v>
      </c>
      <c r="H33" s="5">
        <v>643</v>
      </c>
      <c r="I33" s="18">
        <v>1994</v>
      </c>
      <c r="J33" s="18"/>
      <c r="K33" s="18"/>
      <c r="L33" s="18">
        <v>1165584</v>
      </c>
      <c r="M33" s="18"/>
      <c r="N33" s="18">
        <v>116558</v>
      </c>
      <c r="O33" s="18"/>
      <c r="P33" s="6">
        <v>1282142</v>
      </c>
    </row>
    <row r="34" spans="1:16" x14ac:dyDescent="0.3">
      <c r="A34" s="17" t="s">
        <v>57</v>
      </c>
      <c r="B34" s="17"/>
      <c r="C34" s="17" t="s">
        <v>56</v>
      </c>
      <c r="D34" s="17"/>
      <c r="E34" s="17"/>
      <c r="F34" s="4" t="s">
        <v>34</v>
      </c>
      <c r="G34" s="4" t="s">
        <v>35</v>
      </c>
      <c r="H34" s="5">
        <v>292</v>
      </c>
      <c r="I34" s="18">
        <v>1999</v>
      </c>
      <c r="J34" s="18"/>
      <c r="K34" s="18"/>
      <c r="L34" s="18">
        <v>530644</v>
      </c>
      <c r="M34" s="18"/>
      <c r="N34" s="18">
        <v>53064</v>
      </c>
      <c r="O34" s="18"/>
      <c r="P34" s="6">
        <v>583708</v>
      </c>
    </row>
    <row r="35" spans="1:16" x14ac:dyDescent="0.3">
      <c r="A35" s="17" t="s">
        <v>51</v>
      </c>
      <c r="B35" s="17"/>
      <c r="C35" s="17" t="s">
        <v>56</v>
      </c>
      <c r="D35" s="17"/>
      <c r="E35" s="17"/>
      <c r="F35" s="4" t="s">
        <v>34</v>
      </c>
      <c r="G35" s="4" t="s">
        <v>35</v>
      </c>
      <c r="H35" s="5">
        <v>653</v>
      </c>
      <c r="I35" s="18">
        <v>1999</v>
      </c>
      <c r="J35" s="18"/>
      <c r="K35" s="18"/>
      <c r="L35" s="18">
        <v>1186679</v>
      </c>
      <c r="M35" s="18"/>
      <c r="N35" s="18">
        <v>118668</v>
      </c>
      <c r="O35" s="18"/>
      <c r="P35" s="6">
        <v>1305347</v>
      </c>
    </row>
    <row r="36" spans="1:16" x14ac:dyDescent="0.3">
      <c r="A36" s="17" t="s">
        <v>37</v>
      </c>
      <c r="B36" s="17"/>
      <c r="C36" s="17" t="s">
        <v>56</v>
      </c>
      <c r="D36" s="17"/>
      <c r="E36" s="17"/>
      <c r="F36" s="4" t="s">
        <v>34</v>
      </c>
      <c r="G36" s="4" t="s">
        <v>35</v>
      </c>
      <c r="H36" s="5">
        <v>603</v>
      </c>
      <c r="I36" s="18">
        <v>1999</v>
      </c>
      <c r="J36" s="18"/>
      <c r="K36" s="18"/>
      <c r="L36" s="18">
        <v>1095815</v>
      </c>
      <c r="M36" s="18"/>
      <c r="N36" s="18">
        <v>109582</v>
      </c>
      <c r="O36" s="18"/>
      <c r="P36" s="6">
        <v>1205397</v>
      </c>
    </row>
    <row r="37" spans="1:16" x14ac:dyDescent="0.3">
      <c r="A37" s="17" t="s">
        <v>38</v>
      </c>
      <c r="B37" s="17"/>
      <c r="C37" s="17" t="s">
        <v>56</v>
      </c>
      <c r="D37" s="17"/>
      <c r="E37" s="17"/>
      <c r="F37" s="4" t="s">
        <v>34</v>
      </c>
      <c r="G37" s="4" t="s">
        <v>35</v>
      </c>
      <c r="H37" s="5">
        <v>299</v>
      </c>
      <c r="I37" s="18">
        <v>1999</v>
      </c>
      <c r="J37" s="18"/>
      <c r="K37" s="18"/>
      <c r="L37" s="18">
        <v>543365</v>
      </c>
      <c r="M37" s="18"/>
      <c r="N37" s="18">
        <v>54336</v>
      </c>
      <c r="O37" s="18"/>
      <c r="P37" s="6">
        <v>597701</v>
      </c>
    </row>
    <row r="38" spans="1:16" x14ac:dyDescent="0.3">
      <c r="A38" s="17" t="s">
        <v>39</v>
      </c>
      <c r="B38" s="17"/>
      <c r="C38" s="17" t="s">
        <v>56</v>
      </c>
      <c r="D38" s="17"/>
      <c r="E38" s="17"/>
      <c r="F38" s="4" t="s">
        <v>34</v>
      </c>
      <c r="G38" s="4" t="s">
        <v>35</v>
      </c>
      <c r="H38" s="5">
        <v>577</v>
      </c>
      <c r="I38" s="18">
        <v>1999</v>
      </c>
      <c r="J38" s="18"/>
      <c r="K38" s="18"/>
      <c r="L38" s="18">
        <v>1048566</v>
      </c>
      <c r="M38" s="18"/>
      <c r="N38" s="18">
        <v>104857</v>
      </c>
      <c r="O38" s="18"/>
      <c r="P38" s="6">
        <v>1153423</v>
      </c>
    </row>
    <row r="39" spans="1:16" x14ac:dyDescent="0.3">
      <c r="A39" s="17" t="s">
        <v>54</v>
      </c>
      <c r="B39" s="17"/>
      <c r="C39" s="17" t="s">
        <v>56</v>
      </c>
      <c r="D39" s="17"/>
      <c r="E39" s="17"/>
      <c r="F39" s="4" t="s">
        <v>34</v>
      </c>
      <c r="G39" s="4" t="s">
        <v>35</v>
      </c>
      <c r="H39" s="5">
        <v>582</v>
      </c>
      <c r="I39" s="18">
        <v>1999</v>
      </c>
      <c r="J39" s="18"/>
      <c r="K39" s="18"/>
      <c r="L39" s="18">
        <v>1057653</v>
      </c>
      <c r="M39" s="18"/>
      <c r="N39" s="18">
        <v>105765</v>
      </c>
      <c r="O39" s="18"/>
      <c r="P39" s="6">
        <v>1163418</v>
      </c>
    </row>
    <row r="40" spans="1:16" x14ac:dyDescent="0.3">
      <c r="A40" s="17" t="s">
        <v>58</v>
      </c>
      <c r="B40" s="17"/>
      <c r="C40" s="17" t="s">
        <v>56</v>
      </c>
      <c r="D40" s="17"/>
      <c r="E40" s="17"/>
      <c r="F40" s="4" t="s">
        <v>34</v>
      </c>
      <c r="G40" s="4" t="s">
        <v>35</v>
      </c>
      <c r="H40" s="5">
        <v>531</v>
      </c>
      <c r="I40" s="18">
        <v>1999</v>
      </c>
      <c r="J40" s="18"/>
      <c r="K40" s="18"/>
      <c r="L40" s="18">
        <v>964972</v>
      </c>
      <c r="M40" s="18"/>
      <c r="N40" s="18">
        <v>96497</v>
      </c>
      <c r="O40" s="18"/>
      <c r="P40" s="6">
        <v>1061469</v>
      </c>
    </row>
    <row r="41" spans="1:16" x14ac:dyDescent="0.3">
      <c r="A41" s="17" t="s">
        <v>41</v>
      </c>
      <c r="B41" s="17"/>
      <c r="C41" s="17" t="s">
        <v>56</v>
      </c>
      <c r="D41" s="17"/>
      <c r="E41" s="17"/>
      <c r="F41" s="4" t="s">
        <v>34</v>
      </c>
      <c r="G41" s="4" t="s">
        <v>35</v>
      </c>
      <c r="H41" s="5">
        <v>377</v>
      </c>
      <c r="I41" s="18">
        <v>1999</v>
      </c>
      <c r="J41" s="18"/>
      <c r="K41" s="18"/>
      <c r="L41" s="18">
        <v>685112</v>
      </c>
      <c r="M41" s="18"/>
      <c r="N41" s="18">
        <v>68511</v>
      </c>
      <c r="O41" s="18"/>
      <c r="P41" s="6">
        <v>753623</v>
      </c>
    </row>
    <row r="42" spans="1:16" x14ac:dyDescent="0.3">
      <c r="A42" s="17" t="s">
        <v>59</v>
      </c>
      <c r="B42" s="17"/>
      <c r="C42" s="17" t="s">
        <v>56</v>
      </c>
      <c r="D42" s="17"/>
      <c r="E42" s="17"/>
      <c r="F42" s="4" t="s">
        <v>34</v>
      </c>
      <c r="G42" s="4" t="s">
        <v>35</v>
      </c>
      <c r="H42" s="5">
        <v>462</v>
      </c>
      <c r="I42" s="18">
        <v>1999</v>
      </c>
      <c r="J42" s="18"/>
      <c r="K42" s="18"/>
      <c r="L42" s="18">
        <v>839580</v>
      </c>
      <c r="M42" s="18"/>
      <c r="N42" s="18">
        <v>83958</v>
      </c>
      <c r="O42" s="18"/>
      <c r="P42" s="6">
        <v>923538</v>
      </c>
    </row>
    <row r="43" spans="1:16" x14ac:dyDescent="0.3">
      <c r="A43" s="17" t="s">
        <v>4</v>
      </c>
      <c r="B43" s="17"/>
      <c r="C43" s="17" t="s">
        <v>4</v>
      </c>
      <c r="D43" s="17"/>
      <c r="E43" s="17"/>
      <c r="F43" s="7" t="s">
        <v>60</v>
      </c>
      <c r="G43" s="7" t="s">
        <v>35</v>
      </c>
      <c r="H43" s="8">
        <v>6234</v>
      </c>
      <c r="I43" s="19">
        <v>0</v>
      </c>
      <c r="J43" s="19"/>
      <c r="K43" s="19"/>
      <c r="L43" s="20">
        <v>11320434</v>
      </c>
      <c r="M43" s="20"/>
      <c r="N43" s="20">
        <v>1132042</v>
      </c>
      <c r="O43" s="20"/>
      <c r="P43" s="9">
        <v>12452476</v>
      </c>
    </row>
    <row r="44" spans="1:16" x14ac:dyDescent="0.3">
      <c r="A44" s="17" t="s">
        <v>61</v>
      </c>
      <c r="B44" s="17"/>
      <c r="C44" s="17" t="s">
        <v>62</v>
      </c>
      <c r="D44" s="17"/>
      <c r="E44" s="17"/>
      <c r="F44" s="4" t="s">
        <v>45</v>
      </c>
      <c r="G44" s="4" t="s">
        <v>35</v>
      </c>
      <c r="H44" s="5">
        <v>48</v>
      </c>
      <c r="I44" s="18">
        <v>1984</v>
      </c>
      <c r="J44" s="18"/>
      <c r="K44" s="18"/>
      <c r="L44" s="18">
        <v>86575</v>
      </c>
      <c r="M44" s="18"/>
      <c r="N44" s="18">
        <v>8657</v>
      </c>
      <c r="O44" s="18"/>
      <c r="P44" s="6">
        <v>95232</v>
      </c>
    </row>
    <row r="45" spans="1:16" x14ac:dyDescent="0.3">
      <c r="A45" s="17" t="s">
        <v>63</v>
      </c>
      <c r="B45" s="17"/>
      <c r="C45" s="17" t="s">
        <v>62</v>
      </c>
      <c r="D45" s="17"/>
      <c r="E45" s="17"/>
      <c r="F45" s="4" t="s">
        <v>45</v>
      </c>
      <c r="G45" s="4" t="s">
        <v>35</v>
      </c>
      <c r="H45" s="5">
        <v>46</v>
      </c>
      <c r="I45" s="18">
        <v>1984</v>
      </c>
      <c r="J45" s="18"/>
      <c r="K45" s="18"/>
      <c r="L45" s="18">
        <v>82967</v>
      </c>
      <c r="M45" s="18"/>
      <c r="N45" s="18">
        <v>8297</v>
      </c>
      <c r="O45" s="18"/>
      <c r="P45" s="6">
        <v>91264</v>
      </c>
    </row>
    <row r="46" spans="1:16" x14ac:dyDescent="0.3">
      <c r="A46" s="17" t="s">
        <v>64</v>
      </c>
      <c r="B46" s="17"/>
      <c r="C46" s="17" t="s">
        <v>62</v>
      </c>
      <c r="D46" s="17"/>
      <c r="E46" s="17"/>
      <c r="F46" s="4" t="s">
        <v>45</v>
      </c>
      <c r="G46" s="4" t="s">
        <v>35</v>
      </c>
      <c r="H46" s="5">
        <v>48</v>
      </c>
      <c r="I46" s="18">
        <v>1984</v>
      </c>
      <c r="J46" s="18"/>
      <c r="K46" s="18"/>
      <c r="L46" s="18">
        <v>86575</v>
      </c>
      <c r="M46" s="18"/>
      <c r="N46" s="18">
        <v>8657</v>
      </c>
      <c r="O46" s="18"/>
      <c r="P46" s="6">
        <v>95232</v>
      </c>
    </row>
    <row r="47" spans="1:16" x14ac:dyDescent="0.3">
      <c r="A47" s="17" t="s">
        <v>4</v>
      </c>
      <c r="B47" s="17"/>
      <c r="C47" s="17" t="s">
        <v>4</v>
      </c>
      <c r="D47" s="17"/>
      <c r="E47" s="17"/>
      <c r="F47" s="7" t="s">
        <v>65</v>
      </c>
      <c r="G47" s="7" t="s">
        <v>35</v>
      </c>
      <c r="H47" s="8">
        <v>142</v>
      </c>
      <c r="I47" s="19">
        <v>0</v>
      </c>
      <c r="J47" s="19"/>
      <c r="K47" s="19"/>
      <c r="L47" s="20">
        <v>256117</v>
      </c>
      <c r="M47" s="20"/>
      <c r="N47" s="20">
        <v>25611</v>
      </c>
      <c r="O47" s="20"/>
      <c r="P47" s="9">
        <v>281728</v>
      </c>
    </row>
    <row r="48" spans="1:16" ht="17.25" customHeight="1" x14ac:dyDescent="0.3">
      <c r="A48" s="17" t="s">
        <v>51</v>
      </c>
      <c r="B48" s="17"/>
      <c r="C48" s="17" t="s">
        <v>70</v>
      </c>
      <c r="D48" s="17"/>
      <c r="E48" s="17"/>
      <c r="F48" s="4" t="s">
        <v>34</v>
      </c>
      <c r="G48" s="4" t="s">
        <v>35</v>
      </c>
      <c r="H48" s="5">
        <v>290</v>
      </c>
      <c r="I48" s="18">
        <v>1999</v>
      </c>
      <c r="J48" s="18"/>
      <c r="K48" s="18"/>
      <c r="L48" s="18">
        <v>527009</v>
      </c>
      <c r="M48" s="18"/>
      <c r="N48" s="18">
        <v>52701</v>
      </c>
      <c r="O48" s="18"/>
      <c r="P48" s="6">
        <v>579710</v>
      </c>
    </row>
    <row r="49" spans="1:17" x14ac:dyDescent="0.3">
      <c r="A49" s="17" t="s">
        <v>38</v>
      </c>
      <c r="B49" s="17"/>
      <c r="C49" s="17" t="s">
        <v>70</v>
      </c>
      <c r="D49" s="17"/>
      <c r="E49" s="17"/>
      <c r="F49" s="4" t="s">
        <v>34</v>
      </c>
      <c r="G49" s="4" t="s">
        <v>35</v>
      </c>
      <c r="H49" s="5">
        <v>275</v>
      </c>
      <c r="I49" s="18">
        <v>1999</v>
      </c>
      <c r="J49" s="18"/>
      <c r="K49" s="18"/>
      <c r="L49" s="18">
        <v>499750</v>
      </c>
      <c r="M49" s="18"/>
      <c r="N49" s="18">
        <v>49975</v>
      </c>
      <c r="O49" s="18"/>
      <c r="P49" s="6">
        <v>549725</v>
      </c>
    </row>
    <row r="50" spans="1:17" x14ac:dyDescent="0.3">
      <c r="A50" s="17" t="s">
        <v>71</v>
      </c>
      <c r="B50" s="17"/>
      <c r="C50" s="17" t="s">
        <v>70</v>
      </c>
      <c r="D50" s="17"/>
      <c r="E50" s="17"/>
      <c r="F50" s="4" t="s">
        <v>34</v>
      </c>
      <c r="G50" s="4" t="s">
        <v>35</v>
      </c>
      <c r="H50" s="5">
        <v>222</v>
      </c>
      <c r="I50" s="18">
        <v>1999</v>
      </c>
      <c r="J50" s="18"/>
      <c r="K50" s="18"/>
      <c r="L50" s="18">
        <v>403435</v>
      </c>
      <c r="M50" s="18"/>
      <c r="N50" s="18">
        <v>40343</v>
      </c>
      <c r="O50" s="18"/>
      <c r="P50" s="6">
        <v>443778</v>
      </c>
    </row>
    <row r="51" spans="1:17" x14ac:dyDescent="0.3">
      <c r="A51" s="17" t="s">
        <v>40</v>
      </c>
      <c r="B51" s="17"/>
      <c r="C51" s="17" t="s">
        <v>70</v>
      </c>
      <c r="D51" s="17"/>
      <c r="E51" s="17"/>
      <c r="F51" s="4" t="s">
        <v>34</v>
      </c>
      <c r="G51" s="4" t="s">
        <v>35</v>
      </c>
      <c r="H51" s="5">
        <v>236</v>
      </c>
      <c r="I51" s="18">
        <v>1999</v>
      </c>
      <c r="J51" s="18"/>
      <c r="K51" s="18"/>
      <c r="L51" s="18">
        <v>428876</v>
      </c>
      <c r="M51" s="18"/>
      <c r="N51" s="18">
        <v>42888</v>
      </c>
      <c r="O51" s="18"/>
      <c r="P51" s="6">
        <v>471764</v>
      </c>
    </row>
    <row r="52" spans="1:17" x14ac:dyDescent="0.3">
      <c r="A52" s="17" t="s">
        <v>41</v>
      </c>
      <c r="B52" s="17"/>
      <c r="C52" s="17" t="s">
        <v>70</v>
      </c>
      <c r="D52" s="17"/>
      <c r="E52" s="17"/>
      <c r="F52" s="4" t="s">
        <v>34</v>
      </c>
      <c r="G52" s="4" t="s">
        <v>35</v>
      </c>
      <c r="H52" s="5">
        <v>183</v>
      </c>
      <c r="I52" s="18">
        <v>1999</v>
      </c>
      <c r="J52" s="18"/>
      <c r="K52" s="18"/>
      <c r="L52" s="18">
        <v>332561</v>
      </c>
      <c r="M52" s="18"/>
      <c r="N52" s="18">
        <v>33256</v>
      </c>
      <c r="O52" s="18"/>
      <c r="P52" s="6">
        <v>365817</v>
      </c>
    </row>
    <row r="53" spans="1:17" x14ac:dyDescent="0.3">
      <c r="A53" s="17" t="s">
        <v>4</v>
      </c>
      <c r="B53" s="17"/>
      <c r="C53" s="17" t="s">
        <v>4</v>
      </c>
      <c r="D53" s="17"/>
      <c r="E53" s="17"/>
      <c r="F53" s="7" t="s">
        <v>65</v>
      </c>
      <c r="G53" s="7" t="s">
        <v>35</v>
      </c>
      <c r="H53" s="8">
        <f>SUM(H48:H52)</f>
        <v>1206</v>
      </c>
      <c r="I53" s="19">
        <v>0</v>
      </c>
      <c r="J53" s="19"/>
      <c r="K53" s="19"/>
      <c r="L53" s="24">
        <f t="shared" ref="L53:M53" si="0">SUM(L48:L52)</f>
        <v>2191631</v>
      </c>
      <c r="M53" s="25">
        <f t="shared" si="0"/>
        <v>0</v>
      </c>
      <c r="N53" s="24">
        <f t="shared" ref="N53" si="1">SUM(N48:N52)</f>
        <v>219163</v>
      </c>
      <c r="O53" s="25">
        <f t="shared" ref="O53" si="2">SUM(O48:O52)</f>
        <v>0</v>
      </c>
      <c r="P53" s="9">
        <f t="shared" ref="P53" si="3">SUM(P48:P52)</f>
        <v>2410794</v>
      </c>
      <c r="Q53">
        <f t="shared" ref="Q53" si="4">SUM(Q48:Q52)</f>
        <v>0</v>
      </c>
    </row>
    <row r="54" spans="1:17" ht="17.25" x14ac:dyDescent="0.3">
      <c r="A54" s="21" t="s">
        <v>66</v>
      </c>
      <c r="B54" s="21"/>
      <c r="C54" s="21"/>
      <c r="D54" s="21"/>
      <c r="E54" s="21"/>
      <c r="F54" s="21"/>
      <c r="G54" s="21"/>
      <c r="H54" s="10">
        <v>7565</v>
      </c>
      <c r="I54" s="21" t="s">
        <v>4</v>
      </c>
      <c r="J54" s="21"/>
      <c r="K54" s="21"/>
      <c r="L54" s="22">
        <f>L53+L47+L43+L29+L24+L20+L16</f>
        <v>15929675</v>
      </c>
      <c r="M54" s="22"/>
      <c r="N54" s="22">
        <f>N53+N47+N43+N29+N24+N20+N16</f>
        <v>1592966</v>
      </c>
      <c r="O54" s="22"/>
      <c r="P54" s="11">
        <f>P53+P47+P43+P29+P24+P20+P16</f>
        <v>17522641</v>
      </c>
    </row>
  </sheetData>
  <mergeCells count="251"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G54"/>
    <mergeCell ref="I54:K54"/>
    <mergeCell ref="L54:M54"/>
    <mergeCell ref="N54:O54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</mergeCells>
  <phoneticPr fontId="7" type="noConversion"/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8897-2104-4A9D-8BF3-13ECD45BCA37}">
  <sheetPr>
    <pageSetUpPr fitToPage="1"/>
  </sheetPr>
  <dimension ref="A1:P14"/>
  <sheetViews>
    <sheetView tabSelected="1" workbookViewId="0">
      <selection activeCell="S7" sqref="S7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 t="s">
        <v>1</v>
      </c>
      <c r="N1" s="13"/>
      <c r="O1" s="13" t="s">
        <v>2</v>
      </c>
      <c r="P1" s="13"/>
    </row>
    <row r="2" spans="1:16" ht="18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 t="s">
        <v>3</v>
      </c>
      <c r="N2" s="13"/>
      <c r="O2" s="13" t="s">
        <v>4</v>
      </c>
      <c r="P2" s="13"/>
    </row>
    <row r="3" spans="1:16" ht="27" customHeight="1" x14ac:dyDescent="0.3">
      <c r="A3" s="15" t="s">
        <v>5</v>
      </c>
      <c r="B3" s="2" t="s">
        <v>6</v>
      </c>
      <c r="C3" s="14" t="s">
        <v>7</v>
      </c>
      <c r="D3" s="14"/>
      <c r="E3" s="14"/>
      <c r="F3" s="14"/>
      <c r="G3" s="14"/>
      <c r="H3" s="14"/>
      <c r="I3" s="15" t="s">
        <v>8</v>
      </c>
      <c r="J3" s="2" t="s">
        <v>6</v>
      </c>
      <c r="K3" s="14" t="s">
        <v>67</v>
      </c>
      <c r="L3" s="14"/>
      <c r="M3" s="14"/>
      <c r="N3" s="14"/>
      <c r="O3" s="14"/>
      <c r="P3" s="14"/>
    </row>
    <row r="4" spans="1:16" ht="27" customHeight="1" x14ac:dyDescent="0.3">
      <c r="A4" s="15"/>
      <c r="B4" s="2" t="s">
        <v>10</v>
      </c>
      <c r="C4" s="16" t="s">
        <v>11</v>
      </c>
      <c r="D4" s="16"/>
      <c r="E4" s="16"/>
      <c r="F4" s="16"/>
      <c r="G4" s="1" t="s">
        <v>12</v>
      </c>
      <c r="H4" s="3" t="s">
        <v>13</v>
      </c>
      <c r="I4" s="15"/>
      <c r="J4" s="2" t="s">
        <v>10</v>
      </c>
      <c r="K4" s="16" t="s">
        <v>68</v>
      </c>
      <c r="L4" s="16"/>
      <c r="M4" s="16"/>
      <c r="N4" s="16"/>
      <c r="O4" s="1" t="s">
        <v>12</v>
      </c>
      <c r="P4" s="2" t="s">
        <v>69</v>
      </c>
    </row>
    <row r="5" spans="1:16" ht="27" customHeight="1" x14ac:dyDescent="0.3">
      <c r="A5" s="15"/>
      <c r="B5" s="2" t="s">
        <v>16</v>
      </c>
      <c r="C5" s="16" t="s">
        <v>17</v>
      </c>
      <c r="D5" s="16"/>
      <c r="E5" s="16"/>
      <c r="F5" s="16"/>
      <c r="G5" s="16"/>
      <c r="H5" s="16"/>
      <c r="I5" s="15"/>
      <c r="J5" s="2" t="s">
        <v>16</v>
      </c>
      <c r="K5" s="16" t="s">
        <v>4</v>
      </c>
      <c r="L5" s="16"/>
      <c r="M5" s="16"/>
      <c r="N5" s="16"/>
      <c r="O5" s="16"/>
      <c r="P5" s="16"/>
    </row>
    <row r="6" spans="1:16" ht="27" customHeight="1" x14ac:dyDescent="0.3">
      <c r="A6" s="15"/>
      <c r="B6" s="1" t="s">
        <v>19</v>
      </c>
      <c r="C6" s="16" t="s">
        <v>20</v>
      </c>
      <c r="D6" s="16"/>
      <c r="E6" s="16"/>
      <c r="F6" s="1" t="s">
        <v>21</v>
      </c>
      <c r="G6" s="16" t="s">
        <v>22</v>
      </c>
      <c r="H6" s="16"/>
      <c r="I6" s="15"/>
      <c r="J6" s="1" t="s">
        <v>19</v>
      </c>
      <c r="K6" s="13" t="s">
        <v>4</v>
      </c>
      <c r="L6" s="13"/>
      <c r="M6" s="13"/>
      <c r="N6" s="1" t="s">
        <v>21</v>
      </c>
      <c r="O6" s="13" t="s">
        <v>4</v>
      </c>
      <c r="P6" s="13"/>
    </row>
    <row r="7" spans="1:16" ht="6.95" customHeight="1" x14ac:dyDescent="0.3"/>
    <row r="8" spans="1:16" x14ac:dyDescent="0.3">
      <c r="A8" s="17" t="s">
        <v>23</v>
      </c>
      <c r="B8" s="17"/>
      <c r="C8" s="17" t="s">
        <v>24</v>
      </c>
      <c r="D8" s="17"/>
      <c r="E8" s="17"/>
      <c r="F8" s="4" t="s">
        <v>25</v>
      </c>
      <c r="G8" s="4" t="s">
        <v>26</v>
      </c>
      <c r="H8" s="4" t="s">
        <v>27</v>
      </c>
      <c r="I8" s="17" t="s">
        <v>28</v>
      </c>
      <c r="J8" s="17"/>
      <c r="K8" s="17"/>
      <c r="L8" s="17" t="s">
        <v>29</v>
      </c>
      <c r="M8" s="17"/>
      <c r="N8" s="17" t="s">
        <v>30</v>
      </c>
      <c r="O8" s="17"/>
      <c r="P8" s="4" t="s">
        <v>31</v>
      </c>
    </row>
    <row r="9" spans="1:16" x14ac:dyDescent="0.3">
      <c r="A9" s="23" t="s">
        <v>43</v>
      </c>
      <c r="B9" s="23"/>
      <c r="C9" s="17" t="s">
        <v>70</v>
      </c>
      <c r="D9" s="17"/>
      <c r="E9" s="17"/>
      <c r="F9" s="4" t="s">
        <v>34</v>
      </c>
      <c r="G9" s="4" t="s">
        <v>35</v>
      </c>
      <c r="H9" s="5">
        <v>270</v>
      </c>
      <c r="I9" s="18">
        <v>1994</v>
      </c>
      <c r="J9" s="18"/>
      <c r="K9" s="18"/>
      <c r="L9" s="18">
        <v>489436</v>
      </c>
      <c r="M9" s="18"/>
      <c r="N9" s="18">
        <v>48944</v>
      </c>
      <c r="O9" s="18"/>
      <c r="P9" s="6">
        <v>538380</v>
      </c>
    </row>
    <row r="10" spans="1:16" x14ac:dyDescent="0.3">
      <c r="A10" s="23" t="s">
        <v>32</v>
      </c>
      <c r="B10" s="23"/>
      <c r="C10" s="17" t="s">
        <v>70</v>
      </c>
      <c r="D10" s="17"/>
      <c r="E10" s="17"/>
      <c r="F10" s="4" t="s">
        <v>34</v>
      </c>
      <c r="G10" s="4" t="s">
        <v>35</v>
      </c>
      <c r="H10" s="5">
        <v>160</v>
      </c>
      <c r="I10" s="18">
        <v>1994</v>
      </c>
      <c r="J10" s="18"/>
      <c r="K10" s="18"/>
      <c r="L10" s="18">
        <v>290036</v>
      </c>
      <c r="M10" s="18"/>
      <c r="N10" s="18">
        <v>29004</v>
      </c>
      <c r="O10" s="18"/>
      <c r="P10" s="6">
        <v>319040</v>
      </c>
    </row>
    <row r="11" spans="1:16" x14ac:dyDescent="0.3">
      <c r="A11" s="23" t="s">
        <v>36</v>
      </c>
      <c r="B11" s="23"/>
      <c r="C11" s="17" t="s">
        <v>70</v>
      </c>
      <c r="D11" s="17"/>
      <c r="E11" s="17"/>
      <c r="F11" s="4" t="s">
        <v>34</v>
      </c>
      <c r="G11" s="4" t="s">
        <v>35</v>
      </c>
      <c r="H11" s="5">
        <v>271</v>
      </c>
      <c r="I11" s="18">
        <v>1994</v>
      </c>
      <c r="J11" s="18"/>
      <c r="K11" s="18"/>
      <c r="L11" s="18">
        <v>491249</v>
      </c>
      <c r="M11" s="18"/>
      <c r="N11" s="18">
        <v>49125</v>
      </c>
      <c r="O11" s="18"/>
      <c r="P11" s="6">
        <v>540374</v>
      </c>
    </row>
    <row r="12" spans="1:16" x14ac:dyDescent="0.3">
      <c r="A12" s="23" t="s">
        <v>57</v>
      </c>
      <c r="B12" s="23"/>
      <c r="C12" s="17" t="s">
        <v>70</v>
      </c>
      <c r="D12" s="17"/>
      <c r="E12" s="17"/>
      <c r="F12" s="4" t="s">
        <v>34</v>
      </c>
      <c r="G12" s="4" t="s">
        <v>35</v>
      </c>
      <c r="H12" s="5">
        <v>178</v>
      </c>
      <c r="I12" s="18">
        <v>1999</v>
      </c>
      <c r="J12" s="18"/>
      <c r="K12" s="18"/>
      <c r="L12" s="18">
        <v>323475</v>
      </c>
      <c r="M12" s="18"/>
      <c r="N12" s="18">
        <v>32347</v>
      </c>
      <c r="O12" s="18"/>
      <c r="P12" s="6">
        <v>355822</v>
      </c>
    </row>
    <row r="13" spans="1:16" x14ac:dyDescent="0.3">
      <c r="A13" s="23" t="s">
        <v>72</v>
      </c>
      <c r="B13" s="23"/>
      <c r="C13" s="17" t="s">
        <v>70</v>
      </c>
      <c r="D13" s="17"/>
      <c r="E13" s="17"/>
      <c r="F13" s="4" t="s">
        <v>34</v>
      </c>
      <c r="G13" s="4" t="s">
        <v>35</v>
      </c>
      <c r="H13" s="5">
        <v>178</v>
      </c>
      <c r="I13" s="18">
        <v>1999</v>
      </c>
      <c r="J13" s="18"/>
      <c r="K13" s="18"/>
      <c r="L13" s="18">
        <v>323475</v>
      </c>
      <c r="M13" s="18"/>
      <c r="N13" s="18">
        <v>32347</v>
      </c>
      <c r="O13" s="18"/>
      <c r="P13" s="6">
        <v>355822</v>
      </c>
    </row>
    <row r="14" spans="1:16" ht="17.25" customHeight="1" x14ac:dyDescent="0.3">
      <c r="A14" s="21" t="s">
        <v>66</v>
      </c>
      <c r="B14" s="21"/>
      <c r="C14" s="21"/>
      <c r="D14" s="21"/>
      <c r="E14" s="21"/>
      <c r="F14" s="21"/>
      <c r="G14" s="21"/>
      <c r="H14" s="10">
        <f>SUM(H9:H13)</f>
        <v>1057</v>
      </c>
      <c r="I14" s="21" t="s">
        <v>4</v>
      </c>
      <c r="J14" s="21"/>
      <c r="K14" s="21"/>
      <c r="L14" s="22">
        <f t="shared" ref="L14:M14" si="0">SUM(L9:L13)</f>
        <v>1917671</v>
      </c>
      <c r="M14" s="22">
        <f t="shared" si="0"/>
        <v>0</v>
      </c>
      <c r="N14" s="22">
        <f t="shared" ref="N14" si="1">SUM(N9:N13)</f>
        <v>191767</v>
      </c>
      <c r="O14" s="22">
        <f t="shared" ref="O14" si="2">SUM(O9:O13)</f>
        <v>0</v>
      </c>
      <c r="P14" s="11">
        <f t="shared" ref="P14" si="3">SUM(P9:P13)</f>
        <v>2109438</v>
      </c>
    </row>
  </sheetData>
  <mergeCells count="51">
    <mergeCell ref="A14:G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O1:P1"/>
    <mergeCell ref="M2:N2"/>
    <mergeCell ref="O2:P2"/>
    <mergeCell ref="A3:A6"/>
    <mergeCell ref="C3:H3"/>
    <mergeCell ref="I3:I6"/>
    <mergeCell ref="K3:P3"/>
    <mergeCell ref="C4:F4"/>
  </mergeCells>
  <phoneticPr fontId="7" type="noConversion"/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현대스크랩</vt:lpstr>
      <vt:lpstr>명신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2026-06-03T12:31:59Z</dcterms:created>
  <dcterms:modified xsi:type="dcterms:W3CDTF">2026-06-04T03:12:46Z</dcterms:modified>
  <cp:category/>
</cp:coreProperties>
</file>