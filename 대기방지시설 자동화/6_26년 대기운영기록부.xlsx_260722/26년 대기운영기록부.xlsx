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Workbook________" defaultThemeVersion="202300"/>
  <mc:AlternateContent xmlns:mc="http://schemas.openxmlformats.org/markup-compatibility/2006">
    <mc:Choice Requires="x15">
      <x15ac:absPath xmlns:x15ac="http://schemas.microsoft.com/office/spreadsheetml/2010/11/ac" url="D:\D_Backup\2. 환경관리\1. 대기관리\1 대기방지시설 조사표\운영기록부\"/>
    </mc:Choice>
  </mc:AlternateContent>
  <xr:revisionPtr revIDLastSave="0" documentId="13_ncr:1_{B74E2478-B71A-4A11-A0C7-C0CA826AFA53}" xr6:coauthVersionLast="47" xr6:coauthVersionMax="47" xr10:uidLastSave="{00000000-0000-0000-0000-000000000000}"/>
  <bookViews>
    <workbookView xWindow="28680" yWindow="-120" windowWidth="29040" windowHeight="15720" activeTab="1" xr2:uid="{11D48E77-2F69-42EA-9AED-28DD9F40CB0D}"/>
  </bookViews>
  <sheets>
    <sheet name="1월 2월" sheetId="6" r:id="rId1"/>
    <sheet name="3월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9" i="8" l="1"/>
  <c r="BK29" i="8"/>
  <c r="BJ29" i="8"/>
  <c r="BI29" i="8"/>
  <c r="BH29" i="8"/>
  <c r="BG29" i="8"/>
  <c r="BF29" i="8"/>
  <c r="BE29" i="8"/>
  <c r="BD29" i="8"/>
  <c r="BC29" i="8"/>
  <c r="BB29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BL28" i="8"/>
  <c r="BK28" i="8"/>
  <c r="BJ28" i="8"/>
  <c r="BI28" i="8"/>
  <c r="BH28" i="8"/>
  <c r="BG28" i="8"/>
  <c r="BF28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BK20" i="8"/>
  <c r="BJ20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K16" i="8"/>
  <c r="BJ16" i="8"/>
  <c r="BI16" i="8"/>
  <c r="BH16" i="8"/>
  <c r="BG16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K11" i="8"/>
  <c r="BK10" i="8"/>
  <c r="BK9" i="8"/>
  <c r="BK8" i="8"/>
  <c r="BK7" i="8"/>
  <c r="BK6" i="8"/>
  <c r="BK5" i="8"/>
  <c r="BK4" i="8"/>
  <c r="BD11" i="8"/>
  <c r="BE11" i="8" s="1"/>
  <c r="BF11" i="8" s="1"/>
  <c r="BG11" i="8" s="1"/>
  <c r="BH11" i="8" s="1"/>
  <c r="BD10" i="8"/>
  <c r="BE10" i="8" s="1"/>
  <c r="BF10" i="8" s="1"/>
  <c r="BG10" i="8" s="1"/>
  <c r="BH10" i="8" s="1"/>
  <c r="BD9" i="8"/>
  <c r="BE9" i="8" s="1"/>
  <c r="BF9" i="8" s="1"/>
  <c r="BG9" i="8" s="1"/>
  <c r="BH9" i="8" s="1"/>
  <c r="BD8" i="8"/>
  <c r="BE8" i="8" s="1"/>
  <c r="BF8" i="8" s="1"/>
  <c r="BG8" i="8" s="1"/>
  <c r="BH8" i="8" s="1"/>
  <c r="BF7" i="8"/>
  <c r="BG7" i="8" s="1"/>
  <c r="BH7" i="8" s="1"/>
  <c r="BE7" i="8"/>
  <c r="BD7" i="8"/>
  <c r="BD6" i="8"/>
  <c r="BE6" i="8" s="1"/>
  <c r="BF6" i="8" s="1"/>
  <c r="BG6" i="8" s="1"/>
  <c r="BH6" i="8" s="1"/>
  <c r="BE5" i="8"/>
  <c r="BF5" i="8" s="1"/>
  <c r="BG5" i="8" s="1"/>
  <c r="BH5" i="8" s="1"/>
  <c r="BD5" i="8"/>
  <c r="BE4" i="8"/>
  <c r="BF4" i="8" s="1"/>
  <c r="BG4" i="8" s="1"/>
  <c r="BH4" i="8" s="1"/>
  <c r="BD4" i="8"/>
  <c r="AX11" i="8"/>
  <c r="AY11" i="8" s="1"/>
  <c r="AZ11" i="8" s="1"/>
  <c r="BA11" i="8" s="1"/>
  <c r="AW11" i="8"/>
  <c r="AW10" i="8"/>
  <c r="AX10" i="8" s="1"/>
  <c r="AY10" i="8" s="1"/>
  <c r="AZ10" i="8" s="1"/>
  <c r="BA10" i="8" s="1"/>
  <c r="AW9" i="8"/>
  <c r="AX9" i="8" s="1"/>
  <c r="AY9" i="8" s="1"/>
  <c r="AZ9" i="8" s="1"/>
  <c r="BA9" i="8" s="1"/>
  <c r="AW8" i="8"/>
  <c r="AX8" i="8" s="1"/>
  <c r="AY8" i="8" s="1"/>
  <c r="AZ8" i="8" s="1"/>
  <c r="BA8" i="8" s="1"/>
  <c r="AW7" i="8"/>
  <c r="AX7" i="8" s="1"/>
  <c r="AY7" i="8" s="1"/>
  <c r="AZ7" i="8" s="1"/>
  <c r="BA7" i="8" s="1"/>
  <c r="AW6" i="8"/>
  <c r="AX6" i="8" s="1"/>
  <c r="AY6" i="8" s="1"/>
  <c r="AZ6" i="8" s="1"/>
  <c r="BA6" i="8" s="1"/>
  <c r="AX5" i="8"/>
  <c r="AY5" i="8" s="1"/>
  <c r="AZ5" i="8" s="1"/>
  <c r="BA5" i="8" s="1"/>
  <c r="AW5" i="8"/>
  <c r="AX4" i="8"/>
  <c r="AY4" i="8" s="1"/>
  <c r="AZ4" i="8" s="1"/>
  <c r="BA4" i="8" s="1"/>
  <c r="AW4" i="8"/>
  <c r="AP11" i="8"/>
  <c r="AQ11" i="8" s="1"/>
  <c r="AR11" i="8" s="1"/>
  <c r="AS11" i="8" s="1"/>
  <c r="AT11" i="8" s="1"/>
  <c r="AS10" i="8"/>
  <c r="AT10" i="8" s="1"/>
  <c r="AR10" i="8"/>
  <c r="AQ10" i="8"/>
  <c r="AP10" i="8"/>
  <c r="AP9" i="8"/>
  <c r="AQ9" i="8" s="1"/>
  <c r="AR9" i="8" s="1"/>
  <c r="AS9" i="8" s="1"/>
  <c r="AT9" i="8" s="1"/>
  <c r="AP8" i="8"/>
  <c r="AQ8" i="8" s="1"/>
  <c r="AR8" i="8" s="1"/>
  <c r="AS8" i="8" s="1"/>
  <c r="AT8" i="8" s="1"/>
  <c r="AR7" i="8"/>
  <c r="AS7" i="8" s="1"/>
  <c r="AT7" i="8" s="1"/>
  <c r="AQ7" i="8"/>
  <c r="AP7" i="8"/>
  <c r="AP6" i="8"/>
  <c r="AQ6" i="8" s="1"/>
  <c r="AR6" i="8" s="1"/>
  <c r="AS6" i="8" s="1"/>
  <c r="AT6" i="8" s="1"/>
  <c r="AP5" i="8"/>
  <c r="AQ5" i="8" s="1"/>
  <c r="AR5" i="8" s="1"/>
  <c r="AS5" i="8" s="1"/>
  <c r="AT5" i="8" s="1"/>
  <c r="AQ4" i="8"/>
  <c r="AR4" i="8" s="1"/>
  <c r="AS4" i="8" s="1"/>
  <c r="AT4" i="8" s="1"/>
  <c r="AP4" i="8"/>
  <c r="AL11" i="8"/>
  <c r="AM11" i="8" s="1"/>
  <c r="AL10" i="8"/>
  <c r="AM10" i="8" s="1"/>
  <c r="AL9" i="8"/>
  <c r="AM9" i="8" s="1"/>
  <c r="AM8" i="8"/>
  <c r="AL8" i="8"/>
  <c r="AL7" i="8"/>
  <c r="AM7" i="8" s="1"/>
  <c r="AL6" i="8"/>
  <c r="AM6" i="8" s="1"/>
  <c r="AL5" i="8"/>
  <c r="AM5" i="8" s="1"/>
  <c r="AM4" i="8"/>
  <c r="AL4" i="8"/>
  <c r="AI11" i="8"/>
  <c r="AJ11" i="8" s="1"/>
  <c r="AI10" i="8"/>
  <c r="AJ10" i="8" s="1"/>
  <c r="AI9" i="8"/>
  <c r="AJ9" i="8" s="1"/>
  <c r="AI8" i="8"/>
  <c r="AJ8" i="8" s="1"/>
  <c r="AI7" i="8"/>
  <c r="AJ7" i="8" s="1"/>
  <c r="AI6" i="8"/>
  <c r="AJ6" i="8" s="1"/>
  <c r="AI5" i="8"/>
  <c r="AJ5" i="8" s="1"/>
  <c r="AI4" i="8"/>
  <c r="AJ4" i="8" s="1"/>
  <c r="AC11" i="8"/>
  <c r="AD11" i="8" s="1"/>
  <c r="AE11" i="8" s="1"/>
  <c r="AF11" i="8" s="1"/>
  <c r="AB11" i="8"/>
  <c r="AB10" i="8"/>
  <c r="AC10" i="8" s="1"/>
  <c r="AD10" i="8" s="1"/>
  <c r="AE10" i="8" s="1"/>
  <c r="AF10" i="8" s="1"/>
  <c r="AB9" i="8"/>
  <c r="AC9" i="8" s="1"/>
  <c r="AD9" i="8" s="1"/>
  <c r="AE9" i="8" s="1"/>
  <c r="AF9" i="8" s="1"/>
  <c r="AB8" i="8"/>
  <c r="AC8" i="8" s="1"/>
  <c r="AD8" i="8" s="1"/>
  <c r="AE8" i="8" s="1"/>
  <c r="AF8" i="8" s="1"/>
  <c r="AD7" i="8"/>
  <c r="AE7" i="8" s="1"/>
  <c r="AF7" i="8" s="1"/>
  <c r="AC7" i="8"/>
  <c r="AB7" i="8"/>
  <c r="AB6" i="8"/>
  <c r="AC6" i="8" s="1"/>
  <c r="AD6" i="8" s="1"/>
  <c r="AE6" i="8" s="1"/>
  <c r="AF6" i="8" s="1"/>
  <c r="AB5" i="8"/>
  <c r="AC5" i="8" s="1"/>
  <c r="AD5" i="8" s="1"/>
  <c r="AE5" i="8" s="1"/>
  <c r="AF5" i="8" s="1"/>
  <c r="AC4" i="8"/>
  <c r="AD4" i="8" s="1"/>
  <c r="AE4" i="8" s="1"/>
  <c r="AF4" i="8" s="1"/>
  <c r="AB4" i="8"/>
  <c r="U11" i="8"/>
  <c r="V11" i="8" s="1"/>
  <c r="W11" i="8" s="1"/>
  <c r="X11" i="8" s="1"/>
  <c r="Y11" i="8" s="1"/>
  <c r="U10" i="8"/>
  <c r="V10" i="8" s="1"/>
  <c r="W10" i="8" s="1"/>
  <c r="X10" i="8" s="1"/>
  <c r="Y10" i="8" s="1"/>
  <c r="U9" i="8"/>
  <c r="V9" i="8" s="1"/>
  <c r="W9" i="8" s="1"/>
  <c r="X9" i="8" s="1"/>
  <c r="Y9" i="8" s="1"/>
  <c r="U8" i="8"/>
  <c r="V8" i="8" s="1"/>
  <c r="W8" i="8" s="1"/>
  <c r="X8" i="8" s="1"/>
  <c r="Y8" i="8" s="1"/>
  <c r="U7" i="8"/>
  <c r="V7" i="8" s="1"/>
  <c r="W7" i="8" s="1"/>
  <c r="X7" i="8" s="1"/>
  <c r="Y7" i="8" s="1"/>
  <c r="V6" i="8"/>
  <c r="W6" i="8" s="1"/>
  <c r="X6" i="8" s="1"/>
  <c r="Y6" i="8" s="1"/>
  <c r="U6" i="8"/>
  <c r="U5" i="8"/>
  <c r="V5" i="8" s="1"/>
  <c r="W5" i="8" s="1"/>
  <c r="X5" i="8" s="1"/>
  <c r="Y5" i="8" s="1"/>
  <c r="U4" i="8"/>
  <c r="V4" i="8" s="1"/>
  <c r="W4" i="8" s="1"/>
  <c r="X4" i="8" s="1"/>
  <c r="Y4" i="8" s="1"/>
  <c r="O11" i="8"/>
  <c r="P11" i="8" s="1"/>
  <c r="Q11" i="8" s="1"/>
  <c r="R11" i="8" s="1"/>
  <c r="N11" i="8"/>
  <c r="O10" i="8"/>
  <c r="P10" i="8" s="1"/>
  <c r="Q10" i="8" s="1"/>
  <c r="R10" i="8" s="1"/>
  <c r="N10" i="8"/>
  <c r="O9" i="8"/>
  <c r="P9" i="8" s="1"/>
  <c r="Q9" i="8" s="1"/>
  <c r="R9" i="8" s="1"/>
  <c r="N9" i="8"/>
  <c r="N8" i="8"/>
  <c r="O8" i="8" s="1"/>
  <c r="P8" i="8" s="1"/>
  <c r="Q8" i="8" s="1"/>
  <c r="R8" i="8" s="1"/>
  <c r="N7" i="8"/>
  <c r="O7" i="8" s="1"/>
  <c r="P7" i="8" s="1"/>
  <c r="Q7" i="8" s="1"/>
  <c r="R7" i="8" s="1"/>
  <c r="N6" i="8"/>
  <c r="O6" i="8" s="1"/>
  <c r="P6" i="8" s="1"/>
  <c r="Q6" i="8" s="1"/>
  <c r="R6" i="8" s="1"/>
  <c r="N5" i="8"/>
  <c r="O5" i="8" s="1"/>
  <c r="P5" i="8" s="1"/>
  <c r="Q5" i="8" s="1"/>
  <c r="R5" i="8" s="1"/>
  <c r="N4" i="8"/>
  <c r="O4" i="8" s="1"/>
  <c r="P4" i="8" s="1"/>
  <c r="Q4" i="8" s="1"/>
  <c r="R4" i="8" s="1"/>
  <c r="G11" i="8"/>
  <c r="H11" i="8" s="1"/>
  <c r="I11" i="8" s="1"/>
  <c r="J11" i="8" s="1"/>
  <c r="K11" i="8" s="1"/>
  <c r="G10" i="8"/>
  <c r="H10" i="8" s="1"/>
  <c r="I10" i="8" s="1"/>
  <c r="J10" i="8" s="1"/>
  <c r="K10" i="8" s="1"/>
  <c r="G9" i="8"/>
  <c r="H9" i="8" s="1"/>
  <c r="I9" i="8" s="1"/>
  <c r="J9" i="8" s="1"/>
  <c r="K9" i="8" s="1"/>
  <c r="G8" i="8"/>
  <c r="H8" i="8" s="1"/>
  <c r="I8" i="8" s="1"/>
  <c r="J8" i="8" s="1"/>
  <c r="K8" i="8" s="1"/>
  <c r="G7" i="8"/>
  <c r="H7" i="8" s="1"/>
  <c r="I7" i="8" s="1"/>
  <c r="J7" i="8" s="1"/>
  <c r="K7" i="8" s="1"/>
  <c r="G6" i="8"/>
  <c r="H6" i="8" s="1"/>
  <c r="I6" i="8" s="1"/>
  <c r="J6" i="8" s="1"/>
  <c r="K6" i="8" s="1"/>
  <c r="H5" i="8"/>
  <c r="I5" i="8" s="1"/>
  <c r="J5" i="8" s="1"/>
  <c r="K5" i="8" s="1"/>
  <c r="G5" i="8"/>
  <c r="H4" i="8"/>
  <c r="I4" i="8" s="1"/>
  <c r="J4" i="8" s="1"/>
  <c r="K4" i="8" s="1"/>
  <c r="G4" i="8"/>
  <c r="D11" i="8"/>
  <c r="D10" i="8"/>
  <c r="D9" i="8"/>
  <c r="D8" i="8"/>
  <c r="D7" i="8"/>
  <c r="D6" i="8"/>
  <c r="D5" i="8"/>
  <c r="D4" i="8"/>
  <c r="E9" i="8"/>
  <c r="F9" i="8" s="1"/>
  <c r="E8" i="8"/>
  <c r="F8" i="8" s="1"/>
  <c r="E6" i="8"/>
  <c r="F6" i="8" s="1"/>
  <c r="E5" i="8"/>
  <c r="F5" i="8" s="1"/>
  <c r="E4" i="8"/>
  <c r="F4" i="8" s="1"/>
  <c r="BN3" i="8"/>
  <c r="BM5" i="8"/>
  <c r="B20" i="8"/>
  <c r="B29" i="8" s="1"/>
  <c r="B19" i="8"/>
  <c r="B28" i="8" s="1"/>
  <c r="B18" i="8"/>
  <c r="B27" i="8" s="1"/>
  <c r="B17" i="8"/>
  <c r="B26" i="8" s="1"/>
  <c r="B16" i="8"/>
  <c r="B25" i="8" s="1"/>
  <c r="B15" i="8"/>
  <c r="B24" i="8" s="1"/>
  <c r="B14" i="8"/>
  <c r="B23" i="8" s="1"/>
  <c r="B13" i="8"/>
  <c r="B22" i="8" s="1"/>
  <c r="BO3" i="6"/>
  <c r="BO10" i="6"/>
  <c r="C11" i="6"/>
  <c r="C10" i="6"/>
  <c r="C9" i="6"/>
  <c r="C8" i="6"/>
  <c r="C7" i="6"/>
  <c r="C6" i="6"/>
  <c r="C15" i="6" s="1"/>
  <c r="C5" i="6"/>
  <c r="C14" i="6" s="1"/>
  <c r="C4" i="6"/>
  <c r="BO5" i="6"/>
  <c r="BO6" i="6"/>
  <c r="BO11" i="6"/>
  <c r="BO7" i="6"/>
  <c r="BO8" i="6"/>
  <c r="BO9" i="6"/>
  <c r="BO4" i="6"/>
  <c r="B20" i="6"/>
  <c r="B19" i="6"/>
  <c r="B18" i="6"/>
  <c r="B17" i="6"/>
  <c r="B16" i="6"/>
  <c r="B15" i="6"/>
  <c r="B14" i="6"/>
  <c r="B13" i="6"/>
  <c r="C20" i="6"/>
  <c r="C19" i="6"/>
  <c r="C18" i="6"/>
  <c r="C17" i="6"/>
  <c r="C16" i="6"/>
  <c r="C13" i="6"/>
  <c r="L5" i="8" l="1"/>
  <c r="E7" i="8"/>
  <c r="E10" i="8"/>
  <c r="E11" i="8"/>
  <c r="L8" i="8"/>
  <c r="L4" i="8"/>
  <c r="L6" i="8"/>
  <c r="M5" i="8"/>
  <c r="S5" i="8"/>
  <c r="L9" i="8"/>
  <c r="T5" i="8"/>
  <c r="Z5" i="8"/>
  <c r="AA5" i="8" s="1"/>
  <c r="BN5" i="8"/>
  <c r="D20" i="6"/>
  <c r="D18" i="6"/>
  <c r="D15" i="6"/>
  <c r="D14" i="6"/>
  <c r="D19" i="6"/>
  <c r="D17" i="6"/>
  <c r="D13" i="6"/>
  <c r="BP9" i="6"/>
  <c r="BP6" i="6"/>
  <c r="BP7" i="6"/>
  <c r="BP10" i="6"/>
  <c r="BP5" i="6"/>
  <c r="BP8" i="6"/>
  <c r="BP11" i="6"/>
  <c r="M8" i="8" l="1"/>
  <c r="F7" i="8"/>
  <c r="F11" i="8"/>
  <c r="F10" i="8"/>
  <c r="M9" i="8"/>
  <c r="M4" i="8"/>
  <c r="S8" i="8"/>
  <c r="T8" i="8" s="1"/>
  <c r="M6" i="8"/>
  <c r="E9" i="6"/>
  <c r="E18" i="6" s="1"/>
  <c r="E5" i="6"/>
  <c r="F5" i="6" s="1"/>
  <c r="F14" i="6" s="1"/>
  <c r="E8" i="6"/>
  <c r="E17" i="6" s="1"/>
  <c r="E11" i="6"/>
  <c r="F11" i="6" s="1"/>
  <c r="E10" i="6"/>
  <c r="F10" i="6" s="1"/>
  <c r="E6" i="6"/>
  <c r="F6" i="6" s="1"/>
  <c r="F15" i="6" s="1"/>
  <c r="D16" i="6"/>
  <c r="E7" i="6"/>
  <c r="AG5" i="8" l="1"/>
  <c r="L7" i="8"/>
  <c r="L10" i="8"/>
  <c r="L11" i="8"/>
  <c r="S9" i="8"/>
  <c r="S6" i="8"/>
  <c r="S4" i="8"/>
  <c r="Z8" i="8"/>
  <c r="F9" i="6"/>
  <c r="F18" i="6" s="1"/>
  <c r="G5" i="6"/>
  <c r="H5" i="6" s="1"/>
  <c r="E20" i="6"/>
  <c r="E14" i="6"/>
  <c r="F8" i="6"/>
  <c r="G8" i="6" s="1"/>
  <c r="E19" i="6"/>
  <c r="E15" i="6"/>
  <c r="G6" i="6"/>
  <c r="H6" i="6" s="1"/>
  <c r="I6" i="6" s="1"/>
  <c r="F7" i="6"/>
  <c r="E16" i="6"/>
  <c r="F19" i="6"/>
  <c r="G10" i="6"/>
  <c r="F20" i="6"/>
  <c r="G11" i="6"/>
  <c r="AH5" i="8" l="1"/>
  <c r="M7" i="8"/>
  <c r="M10" i="8"/>
  <c r="M11" i="8"/>
  <c r="T6" i="8"/>
  <c r="T4" i="8"/>
  <c r="T9" i="8"/>
  <c r="AA8" i="8"/>
  <c r="G9" i="6"/>
  <c r="H9" i="6" s="1"/>
  <c r="G14" i="6"/>
  <c r="F17" i="6"/>
  <c r="G15" i="6"/>
  <c r="H15" i="6"/>
  <c r="G19" i="6"/>
  <c r="H10" i="6"/>
  <c r="G20" i="6"/>
  <c r="H11" i="6"/>
  <c r="J6" i="6"/>
  <c r="I15" i="6"/>
  <c r="I5" i="6"/>
  <c r="H14" i="6"/>
  <c r="H8" i="6"/>
  <c r="G17" i="6"/>
  <c r="G7" i="6"/>
  <c r="F16" i="6"/>
  <c r="AK5" i="8" l="1"/>
  <c r="S7" i="8"/>
  <c r="S11" i="8"/>
  <c r="S10" i="8"/>
  <c r="Z4" i="8"/>
  <c r="Z6" i="8"/>
  <c r="Z9" i="8"/>
  <c r="AG8" i="8"/>
  <c r="G18" i="6"/>
  <c r="BK15" i="6"/>
  <c r="BK17" i="6"/>
  <c r="BK20" i="6"/>
  <c r="BK14" i="6"/>
  <c r="BK18" i="6"/>
  <c r="BK16" i="6"/>
  <c r="BK19" i="6"/>
  <c r="I8" i="6"/>
  <c r="H17" i="6"/>
  <c r="I10" i="6"/>
  <c r="H19" i="6"/>
  <c r="H7" i="6"/>
  <c r="G16" i="6"/>
  <c r="J15" i="6"/>
  <c r="K6" i="6"/>
  <c r="H20" i="6"/>
  <c r="I11" i="6"/>
  <c r="J5" i="6"/>
  <c r="I14" i="6"/>
  <c r="I9" i="6"/>
  <c r="H18" i="6"/>
  <c r="AN5" i="8" l="1"/>
  <c r="T7" i="8"/>
  <c r="T10" i="8"/>
  <c r="T11" i="8"/>
  <c r="AA4" i="8"/>
  <c r="AA6" i="8"/>
  <c r="AA9" i="8"/>
  <c r="AH8" i="8"/>
  <c r="BM16" i="6"/>
  <c r="BL16" i="6"/>
  <c r="BM15" i="6"/>
  <c r="BL15" i="6"/>
  <c r="BM20" i="6"/>
  <c r="BL20" i="6"/>
  <c r="BL14" i="6"/>
  <c r="BM14" i="6"/>
  <c r="BM19" i="6"/>
  <c r="BL19" i="6"/>
  <c r="BL18" i="6"/>
  <c r="BM18" i="6"/>
  <c r="BM17" i="6"/>
  <c r="BL17" i="6"/>
  <c r="J9" i="6"/>
  <c r="I18" i="6"/>
  <c r="K15" i="6"/>
  <c r="L6" i="6"/>
  <c r="J14" i="6"/>
  <c r="K5" i="6"/>
  <c r="J10" i="6"/>
  <c r="I19" i="6"/>
  <c r="J11" i="6"/>
  <c r="I20" i="6"/>
  <c r="I7" i="6"/>
  <c r="H16" i="6"/>
  <c r="J8" i="6"/>
  <c r="I17" i="6"/>
  <c r="AO5" i="8" l="1"/>
  <c r="Z7" i="8"/>
  <c r="Z11" i="8"/>
  <c r="Z10" i="8"/>
  <c r="AG4" i="8"/>
  <c r="AG6" i="8"/>
  <c r="AG9" i="8"/>
  <c r="AK8" i="8"/>
  <c r="K14" i="6"/>
  <c r="L5" i="6"/>
  <c r="J17" i="6"/>
  <c r="K8" i="6"/>
  <c r="J7" i="6"/>
  <c r="I16" i="6"/>
  <c r="L15" i="6"/>
  <c r="M6" i="6"/>
  <c r="K11" i="6"/>
  <c r="J20" i="6"/>
  <c r="J19" i="6"/>
  <c r="K10" i="6"/>
  <c r="J18" i="6"/>
  <c r="K9" i="6"/>
  <c r="AU5" i="8" l="1"/>
  <c r="AA7" i="8"/>
  <c r="AA10" i="8"/>
  <c r="AA11" i="8"/>
  <c r="AH6" i="8"/>
  <c r="AH9" i="8"/>
  <c r="AH4" i="8"/>
  <c r="AN8" i="8"/>
  <c r="K18" i="6"/>
  <c r="L9" i="6"/>
  <c r="J16" i="6"/>
  <c r="K7" i="6"/>
  <c r="K19" i="6"/>
  <c r="L10" i="6"/>
  <c r="K17" i="6"/>
  <c r="L8" i="6"/>
  <c r="K20" i="6"/>
  <c r="L11" i="6"/>
  <c r="N6" i="6"/>
  <c r="M15" i="6"/>
  <c r="M5" i="6"/>
  <c r="L14" i="6"/>
  <c r="AV5" i="8" l="1"/>
  <c r="AG7" i="8"/>
  <c r="AG10" i="8"/>
  <c r="AG11" i="8"/>
  <c r="AK6" i="8"/>
  <c r="AK4" i="8"/>
  <c r="AK9" i="8"/>
  <c r="AO8" i="8"/>
  <c r="M14" i="6"/>
  <c r="N5" i="6"/>
  <c r="O6" i="6"/>
  <c r="N15" i="6"/>
  <c r="L19" i="6"/>
  <c r="M10" i="6"/>
  <c r="L20" i="6"/>
  <c r="M11" i="6"/>
  <c r="K16" i="6"/>
  <c r="L7" i="6"/>
  <c r="L17" i="6"/>
  <c r="M8" i="6"/>
  <c r="L18" i="6"/>
  <c r="M9" i="6"/>
  <c r="BB5" i="8" l="1"/>
  <c r="AH7" i="8"/>
  <c r="AH11" i="8"/>
  <c r="AH10" i="8"/>
  <c r="AN4" i="8"/>
  <c r="AN6" i="8"/>
  <c r="AN9" i="8"/>
  <c r="AU8" i="8"/>
  <c r="M18" i="6"/>
  <c r="N9" i="6"/>
  <c r="M19" i="6"/>
  <c r="N10" i="6"/>
  <c r="M17" i="6"/>
  <c r="N8" i="6"/>
  <c r="P6" i="6"/>
  <c r="O15" i="6"/>
  <c r="L16" i="6"/>
  <c r="M7" i="6"/>
  <c r="M20" i="6"/>
  <c r="N11" i="6"/>
  <c r="O5" i="6"/>
  <c r="N14" i="6"/>
  <c r="BC5" i="8" l="1"/>
  <c r="AK7" i="8"/>
  <c r="AK10" i="8"/>
  <c r="AK11" i="8"/>
  <c r="AO9" i="8"/>
  <c r="AO4" i="8"/>
  <c r="AO6" i="8"/>
  <c r="AV8" i="8"/>
  <c r="P5" i="6"/>
  <c r="O14" i="6"/>
  <c r="N18" i="6"/>
  <c r="O9" i="6"/>
  <c r="Q6" i="6"/>
  <c r="P15" i="6"/>
  <c r="N20" i="6"/>
  <c r="O11" i="6"/>
  <c r="O8" i="6"/>
  <c r="N17" i="6"/>
  <c r="N19" i="6"/>
  <c r="O10" i="6"/>
  <c r="N7" i="6"/>
  <c r="M16" i="6"/>
  <c r="BI5" i="8" l="1"/>
  <c r="BJ5" i="8" s="1"/>
  <c r="AN7" i="8"/>
  <c r="AN10" i="8"/>
  <c r="AN11" i="8"/>
  <c r="AU6" i="8"/>
  <c r="AU4" i="8"/>
  <c r="AU9" i="8"/>
  <c r="O7" i="6"/>
  <c r="N16" i="6"/>
  <c r="P9" i="6"/>
  <c r="O18" i="6"/>
  <c r="O20" i="6"/>
  <c r="P11" i="6"/>
  <c r="O19" i="6"/>
  <c r="P10" i="6"/>
  <c r="R6" i="6"/>
  <c r="Q15" i="6"/>
  <c r="P8" i="6"/>
  <c r="O17" i="6"/>
  <c r="Q5" i="6"/>
  <c r="P14" i="6"/>
  <c r="AO7" i="8" l="1"/>
  <c r="AO11" i="8"/>
  <c r="AO10" i="8"/>
  <c r="AV9" i="8"/>
  <c r="AV4" i="8"/>
  <c r="AV6" i="8"/>
  <c r="Q10" i="6"/>
  <c r="P19" i="6"/>
  <c r="R5" i="6"/>
  <c r="Q14" i="6"/>
  <c r="P20" i="6"/>
  <c r="Q11" i="6"/>
  <c r="Q8" i="6"/>
  <c r="P17" i="6"/>
  <c r="Q9" i="6"/>
  <c r="P18" i="6"/>
  <c r="R15" i="6"/>
  <c r="S6" i="6"/>
  <c r="P7" i="6"/>
  <c r="O16" i="6"/>
  <c r="AU7" i="8" l="1"/>
  <c r="AU11" i="8"/>
  <c r="AU10" i="8"/>
  <c r="R9" i="6"/>
  <c r="Q18" i="6"/>
  <c r="R11" i="6"/>
  <c r="Q20" i="6"/>
  <c r="Q7" i="6"/>
  <c r="P16" i="6"/>
  <c r="S15" i="6"/>
  <c r="T6" i="6"/>
  <c r="R14" i="6"/>
  <c r="S5" i="6"/>
  <c r="R10" i="6"/>
  <c r="Q19" i="6"/>
  <c r="R8" i="6"/>
  <c r="Q17" i="6"/>
  <c r="AV7" i="8" l="1"/>
  <c r="AV10" i="8"/>
  <c r="AV11" i="8"/>
  <c r="T15" i="6"/>
  <c r="U6" i="6"/>
  <c r="R17" i="6"/>
  <c r="S8" i="6"/>
  <c r="S14" i="6"/>
  <c r="T5" i="6"/>
  <c r="R19" i="6"/>
  <c r="S10" i="6"/>
  <c r="S11" i="6"/>
  <c r="R20" i="6"/>
  <c r="R7" i="6"/>
  <c r="Q16" i="6"/>
  <c r="R18" i="6"/>
  <c r="S9" i="6"/>
  <c r="S18" i="6" l="1"/>
  <c r="T9" i="6"/>
  <c r="V6" i="6"/>
  <c r="U15" i="6"/>
  <c r="S19" i="6"/>
  <c r="T10" i="6"/>
  <c r="T14" i="6"/>
  <c r="U5" i="6"/>
  <c r="S17" i="6"/>
  <c r="T8" i="6"/>
  <c r="R16" i="6"/>
  <c r="S7" i="6"/>
  <c r="S20" i="6"/>
  <c r="T11" i="6"/>
  <c r="U10" i="6" l="1"/>
  <c r="T19" i="6"/>
  <c r="T17" i="6"/>
  <c r="U8" i="6"/>
  <c r="S16" i="6"/>
  <c r="T7" i="6"/>
  <c r="V15" i="6"/>
  <c r="W6" i="6"/>
  <c r="V5" i="6"/>
  <c r="U14" i="6"/>
  <c r="T18" i="6"/>
  <c r="U9" i="6"/>
  <c r="U11" i="6"/>
  <c r="T20" i="6"/>
  <c r="U18" i="6" l="1"/>
  <c r="V9" i="6"/>
  <c r="U17" i="6"/>
  <c r="V8" i="6"/>
  <c r="T16" i="6"/>
  <c r="U7" i="6"/>
  <c r="W5" i="6"/>
  <c r="V14" i="6"/>
  <c r="X6" i="6"/>
  <c r="W15" i="6"/>
  <c r="U20" i="6"/>
  <c r="V11" i="6"/>
  <c r="U19" i="6"/>
  <c r="V10" i="6"/>
  <c r="V7" i="6" l="1"/>
  <c r="U16" i="6"/>
  <c r="Y6" i="6"/>
  <c r="X15" i="6"/>
  <c r="V18" i="6"/>
  <c r="W9" i="6"/>
  <c r="V19" i="6"/>
  <c r="W10" i="6"/>
  <c r="V20" i="6"/>
  <c r="W11" i="6"/>
  <c r="W8" i="6"/>
  <c r="V17" i="6"/>
  <c r="X5" i="6"/>
  <c r="W14" i="6"/>
  <c r="X9" i="6" l="1"/>
  <c r="W18" i="6"/>
  <c r="Y5" i="6"/>
  <c r="X14" i="6"/>
  <c r="X8" i="6"/>
  <c r="W17" i="6"/>
  <c r="Z6" i="6"/>
  <c r="Y15" i="6"/>
  <c r="W20" i="6"/>
  <c r="X11" i="6"/>
  <c r="W7" i="6"/>
  <c r="V16" i="6"/>
  <c r="W19" i="6"/>
  <c r="X10" i="6"/>
  <c r="Z15" i="6" l="1"/>
  <c r="AA6" i="6"/>
  <c r="Y10" i="6"/>
  <c r="X19" i="6"/>
  <c r="Y8" i="6"/>
  <c r="X17" i="6"/>
  <c r="X7" i="6"/>
  <c r="W16" i="6"/>
  <c r="Z5" i="6"/>
  <c r="Y14" i="6"/>
  <c r="X20" i="6"/>
  <c r="Y11" i="6"/>
  <c r="Y9" i="6"/>
  <c r="X18" i="6"/>
  <c r="Z14" i="6" l="1"/>
  <c r="AA5" i="6"/>
  <c r="AA15" i="6"/>
  <c r="AB6" i="6"/>
  <c r="Z9" i="6"/>
  <c r="Y18" i="6"/>
  <c r="Z8" i="6"/>
  <c r="Y17" i="6"/>
  <c r="Z11" i="6"/>
  <c r="Y20" i="6"/>
  <c r="Z10" i="6"/>
  <c r="Y19" i="6"/>
  <c r="Y7" i="6"/>
  <c r="X16" i="6"/>
  <c r="Z17" i="6" l="1"/>
  <c r="AA8" i="6"/>
  <c r="AB15" i="6"/>
  <c r="AC6" i="6"/>
  <c r="Z7" i="6"/>
  <c r="Y16" i="6"/>
  <c r="Z18" i="6"/>
  <c r="AA9" i="6"/>
  <c r="Z19" i="6"/>
  <c r="AA10" i="6"/>
  <c r="AA14" i="6"/>
  <c r="AB5" i="6"/>
  <c r="AA11" i="6"/>
  <c r="Z20" i="6"/>
  <c r="AA20" i="6" l="1"/>
  <c r="AB11" i="6"/>
  <c r="Z16" i="6"/>
  <c r="AA7" i="6"/>
  <c r="AD6" i="6"/>
  <c r="AC15" i="6"/>
  <c r="AA18" i="6"/>
  <c r="AB9" i="6"/>
  <c r="AA17" i="6"/>
  <c r="AB8" i="6"/>
  <c r="AB14" i="6"/>
  <c r="AC5" i="6"/>
  <c r="AA19" i="6"/>
  <c r="AB10" i="6"/>
  <c r="AB19" i="6" l="1"/>
  <c r="AC10" i="6"/>
  <c r="AE6" i="6"/>
  <c r="AF6" i="6" s="1"/>
  <c r="AD15" i="6"/>
  <c r="AA16" i="6"/>
  <c r="AB7" i="6"/>
  <c r="AB17" i="6"/>
  <c r="AC8" i="6"/>
  <c r="AB18" i="6"/>
  <c r="AC9" i="6"/>
  <c r="AC14" i="6"/>
  <c r="AD5" i="6"/>
  <c r="AC11" i="6"/>
  <c r="AB20" i="6"/>
  <c r="AF15" i="6" l="1"/>
  <c r="AG6" i="6"/>
  <c r="AC17" i="6"/>
  <c r="AD8" i="6"/>
  <c r="AC20" i="6"/>
  <c r="AD11" i="6"/>
  <c r="AB16" i="6"/>
  <c r="AC7" i="6"/>
  <c r="AC19" i="6"/>
  <c r="AD10" i="6"/>
  <c r="AE5" i="6"/>
  <c r="AF5" i="6" s="1"/>
  <c r="AD14" i="6"/>
  <c r="BN6" i="6"/>
  <c r="AE15" i="6"/>
  <c r="AC18" i="6"/>
  <c r="AD9" i="6"/>
  <c r="AF14" i="6" l="1"/>
  <c r="AG5" i="6"/>
  <c r="AG15" i="6"/>
  <c r="AH6" i="6"/>
  <c r="AD18" i="6"/>
  <c r="AE9" i="6"/>
  <c r="AF9" i="6" s="1"/>
  <c r="AD7" i="6"/>
  <c r="AC16" i="6"/>
  <c r="AE8" i="6"/>
  <c r="AF8" i="6" s="1"/>
  <c r="AD17" i="6"/>
  <c r="AD19" i="6"/>
  <c r="AE10" i="6"/>
  <c r="AF10" i="6" s="1"/>
  <c r="AD20" i="6"/>
  <c r="AE11" i="6"/>
  <c r="AF11" i="6" s="1"/>
  <c r="BN5" i="6"/>
  <c r="AE14" i="6"/>
  <c r="BN11" i="6" l="1"/>
  <c r="AF20" i="6"/>
  <c r="AG11" i="6"/>
  <c r="AF19" i="6"/>
  <c r="AG10" i="6"/>
  <c r="AG14" i="6"/>
  <c r="AH5" i="6"/>
  <c r="AF18" i="6"/>
  <c r="AG9" i="6"/>
  <c r="AI6" i="6"/>
  <c r="AH15" i="6"/>
  <c r="AF17" i="6"/>
  <c r="AG8" i="6"/>
  <c r="BN8" i="6"/>
  <c r="AE17" i="6"/>
  <c r="AE19" i="6"/>
  <c r="BN10" i="6"/>
  <c r="AE20" i="6"/>
  <c r="AE7" i="6"/>
  <c r="AF7" i="6" s="1"/>
  <c r="AD16" i="6"/>
  <c r="BN9" i="6"/>
  <c r="AE18" i="6"/>
  <c r="BL14" i="8" l="1"/>
  <c r="AH10" i="6"/>
  <c r="AG19" i="6"/>
  <c r="AH11" i="6"/>
  <c r="AG20" i="6"/>
  <c r="AI5" i="6"/>
  <c r="AH14" i="6"/>
  <c r="AH8" i="6"/>
  <c r="AG17" i="6"/>
  <c r="AF16" i="6"/>
  <c r="AG7" i="6"/>
  <c r="AJ6" i="6"/>
  <c r="AI15" i="6"/>
  <c r="AH9" i="6"/>
  <c r="AG18" i="6"/>
  <c r="BN7" i="6"/>
  <c r="AE16" i="6"/>
  <c r="AI14" i="6" l="1"/>
  <c r="AJ5" i="6"/>
  <c r="AJ15" i="6"/>
  <c r="AK6" i="6"/>
  <c r="AH20" i="6"/>
  <c r="AI11" i="6"/>
  <c r="AH7" i="6"/>
  <c r="AG16" i="6"/>
  <c r="AH17" i="6"/>
  <c r="AI8" i="6"/>
  <c r="AI9" i="6"/>
  <c r="AH18" i="6"/>
  <c r="AI10" i="6"/>
  <c r="AH19" i="6"/>
  <c r="AJ10" i="6" l="1"/>
  <c r="AI19" i="6"/>
  <c r="AK15" i="6"/>
  <c r="AL6" i="6"/>
  <c r="AH16" i="6"/>
  <c r="AI7" i="6"/>
  <c r="AJ9" i="6"/>
  <c r="AI18" i="6"/>
  <c r="AJ8" i="6"/>
  <c r="AI17" i="6"/>
  <c r="AJ11" i="6"/>
  <c r="AI20" i="6"/>
  <c r="AJ14" i="6"/>
  <c r="AK5" i="6"/>
  <c r="AL15" i="6" l="1"/>
  <c r="AM6" i="6"/>
  <c r="AK14" i="6"/>
  <c r="AL5" i="6"/>
  <c r="AJ20" i="6"/>
  <c r="AK11" i="6"/>
  <c r="AJ18" i="6"/>
  <c r="AK9" i="6"/>
  <c r="AJ7" i="6"/>
  <c r="AI16" i="6"/>
  <c r="AK8" i="6"/>
  <c r="AJ17" i="6"/>
  <c r="AK10" i="6"/>
  <c r="AJ19" i="6"/>
  <c r="AL9" i="6" l="1"/>
  <c r="AK18" i="6"/>
  <c r="AL11" i="6"/>
  <c r="AK20" i="6"/>
  <c r="AK19" i="6"/>
  <c r="AL10" i="6"/>
  <c r="AM15" i="6"/>
  <c r="AN6" i="6"/>
  <c r="AL14" i="6"/>
  <c r="AM5" i="6"/>
  <c r="AL8" i="6"/>
  <c r="AK17" i="6"/>
  <c r="AK7" i="6"/>
  <c r="AJ16" i="6"/>
  <c r="AK16" i="6" l="1"/>
  <c r="AL7" i="6"/>
  <c r="AL17" i="6"/>
  <c r="AM8" i="6"/>
  <c r="AM14" i="6"/>
  <c r="AN5" i="6"/>
  <c r="AN15" i="6"/>
  <c r="AO6" i="6"/>
  <c r="AL19" i="6"/>
  <c r="AM10" i="6"/>
  <c r="AM11" i="6"/>
  <c r="AL20" i="6"/>
  <c r="AL18" i="6"/>
  <c r="AM9" i="6"/>
  <c r="AO15" i="6" l="1"/>
  <c r="AP6" i="6"/>
  <c r="AM17" i="6"/>
  <c r="AN8" i="6"/>
  <c r="AM18" i="6"/>
  <c r="AN9" i="6"/>
  <c r="AN14" i="6"/>
  <c r="AO5" i="6"/>
  <c r="AM20" i="6"/>
  <c r="AN11" i="6"/>
  <c r="AM19" i="6"/>
  <c r="AN10" i="6"/>
  <c r="AL16" i="6"/>
  <c r="AM7" i="6"/>
  <c r="AM16" i="6" l="1"/>
  <c r="AN7" i="6"/>
  <c r="AN18" i="6"/>
  <c r="AO9" i="6"/>
  <c r="AN19" i="6"/>
  <c r="AO10" i="6"/>
  <c r="AN17" i="6"/>
  <c r="AO8" i="6"/>
  <c r="AO14" i="6"/>
  <c r="AP5" i="6"/>
  <c r="AN20" i="6"/>
  <c r="AO11" i="6"/>
  <c r="AQ6" i="6"/>
  <c r="AP15" i="6"/>
  <c r="AP11" i="6" l="1"/>
  <c r="AO20" i="6"/>
  <c r="AO18" i="6"/>
  <c r="AP9" i="6"/>
  <c r="AP8" i="6"/>
  <c r="AO17" i="6"/>
  <c r="AO19" i="6"/>
  <c r="AP10" i="6"/>
  <c r="AQ15" i="6"/>
  <c r="AR6" i="6"/>
  <c r="AQ5" i="6"/>
  <c r="AP14" i="6"/>
  <c r="AN16" i="6"/>
  <c r="AO7" i="6"/>
  <c r="AQ10" i="6" l="1"/>
  <c r="AP19" i="6"/>
  <c r="AQ9" i="6"/>
  <c r="AP18" i="6"/>
  <c r="AQ14" i="6"/>
  <c r="AR5" i="6"/>
  <c r="AR15" i="6"/>
  <c r="AS6" i="6"/>
  <c r="AO16" i="6"/>
  <c r="AP7" i="6"/>
  <c r="AQ8" i="6"/>
  <c r="AP17" i="6"/>
  <c r="AQ11" i="6"/>
  <c r="AP20" i="6"/>
  <c r="AR11" i="6" l="1"/>
  <c r="AQ20" i="6"/>
  <c r="AR8" i="6"/>
  <c r="AQ17" i="6"/>
  <c r="AR9" i="6"/>
  <c r="AQ18" i="6"/>
  <c r="AS15" i="6"/>
  <c r="AT6" i="6"/>
  <c r="AS5" i="6"/>
  <c r="AR14" i="6"/>
  <c r="AQ7" i="6"/>
  <c r="AP16" i="6"/>
  <c r="AR10" i="6"/>
  <c r="AQ19" i="6"/>
  <c r="AS11" i="6" l="1"/>
  <c r="AR20" i="6"/>
  <c r="AT15" i="6"/>
  <c r="AU6" i="6"/>
  <c r="AS14" i="6"/>
  <c r="AT5" i="6"/>
  <c r="AS10" i="6"/>
  <c r="AR19" i="6"/>
  <c r="AR18" i="6"/>
  <c r="AS9" i="6"/>
  <c r="AR7" i="6"/>
  <c r="AQ16" i="6"/>
  <c r="AR17" i="6"/>
  <c r="AS8" i="6"/>
  <c r="AS18" i="6" l="1"/>
  <c r="AT9" i="6"/>
  <c r="AS20" i="6"/>
  <c r="AT11" i="6"/>
  <c r="AU15" i="6"/>
  <c r="AV6" i="6"/>
  <c r="AS7" i="6"/>
  <c r="AR16" i="6"/>
  <c r="AS19" i="6"/>
  <c r="AT10" i="6"/>
  <c r="AS17" i="6"/>
  <c r="AT8" i="6"/>
  <c r="AT14" i="6"/>
  <c r="AU5" i="6"/>
  <c r="AS16" i="6" l="1"/>
  <c r="AT7" i="6"/>
  <c r="AW6" i="6"/>
  <c r="AV15" i="6"/>
  <c r="AT17" i="6"/>
  <c r="AU8" i="6"/>
  <c r="AT20" i="6"/>
  <c r="AU11" i="6"/>
  <c r="AU14" i="6"/>
  <c r="AV5" i="6"/>
  <c r="AT19" i="6"/>
  <c r="AU10" i="6"/>
  <c r="AT18" i="6"/>
  <c r="AU9" i="6"/>
  <c r="AU18" i="6" l="1"/>
  <c r="AV9" i="6"/>
  <c r="AU20" i="6"/>
  <c r="AV11" i="6"/>
  <c r="AV8" i="6"/>
  <c r="AU17" i="6"/>
  <c r="AW15" i="6"/>
  <c r="AX6" i="6"/>
  <c r="AV14" i="6"/>
  <c r="AW5" i="6"/>
  <c r="AT16" i="6"/>
  <c r="AU7" i="6"/>
  <c r="AV10" i="6"/>
  <c r="AU19" i="6"/>
  <c r="AW10" i="6" l="1"/>
  <c r="AV19" i="6"/>
  <c r="AU16" i="6"/>
  <c r="AV7" i="6"/>
  <c r="AX5" i="6"/>
  <c r="AW14" i="6"/>
  <c r="AV18" i="6"/>
  <c r="AW9" i="6"/>
  <c r="AY6" i="6"/>
  <c r="AX15" i="6"/>
  <c r="AV17" i="6"/>
  <c r="AW8" i="6"/>
  <c r="AV20" i="6"/>
  <c r="AW11" i="6"/>
  <c r="AW19" i="6" l="1"/>
  <c r="AX10" i="6"/>
  <c r="AX11" i="6"/>
  <c r="AW20" i="6"/>
  <c r="AY5" i="6"/>
  <c r="AX14" i="6"/>
  <c r="AX8" i="6"/>
  <c r="AW17" i="6"/>
  <c r="AW7" i="6"/>
  <c r="AV16" i="6"/>
  <c r="AY15" i="6"/>
  <c r="AZ6" i="6"/>
  <c r="AX9" i="6"/>
  <c r="AW18" i="6"/>
  <c r="AW16" i="6" l="1"/>
  <c r="AX7" i="6"/>
  <c r="AY8" i="6"/>
  <c r="AX17" i="6"/>
  <c r="AY9" i="6"/>
  <c r="AX18" i="6"/>
  <c r="AZ5" i="6"/>
  <c r="AY14" i="6"/>
  <c r="AZ15" i="6"/>
  <c r="BA6" i="6"/>
  <c r="AY11" i="6"/>
  <c r="AX20" i="6"/>
  <c r="AY10" i="6"/>
  <c r="AX19" i="6"/>
  <c r="AX16" i="6" l="1"/>
  <c r="AY7" i="6"/>
  <c r="AZ14" i="6"/>
  <c r="BA5" i="6"/>
  <c r="AY19" i="6"/>
  <c r="AZ10" i="6"/>
  <c r="AZ9" i="6"/>
  <c r="AY18" i="6"/>
  <c r="BA15" i="6"/>
  <c r="BB6" i="6"/>
  <c r="AY20" i="6"/>
  <c r="AZ11" i="6"/>
  <c r="AZ8" i="6"/>
  <c r="AY17" i="6"/>
  <c r="AZ18" i="6" l="1"/>
  <c r="BA9" i="6"/>
  <c r="AZ19" i="6"/>
  <c r="BA10" i="6"/>
  <c r="AZ17" i="6"/>
  <c r="BA8" i="6"/>
  <c r="AZ20" i="6"/>
  <c r="BA11" i="6"/>
  <c r="BA14" i="6"/>
  <c r="BB5" i="6"/>
  <c r="BB15" i="6"/>
  <c r="BC6" i="6"/>
  <c r="AZ7" i="6"/>
  <c r="AY16" i="6"/>
  <c r="BA18" i="6" l="1"/>
  <c r="BB9" i="6"/>
  <c r="BA17" i="6"/>
  <c r="BB8" i="6"/>
  <c r="AZ16" i="6"/>
  <c r="BA7" i="6"/>
  <c r="BC15" i="6"/>
  <c r="BD6" i="6"/>
  <c r="BA19" i="6"/>
  <c r="BB10" i="6"/>
  <c r="BC5" i="6"/>
  <c r="BB14" i="6"/>
  <c r="BA20" i="6"/>
  <c r="BB11" i="6"/>
  <c r="BC9" i="6" l="1"/>
  <c r="BB18" i="6"/>
  <c r="BC10" i="6"/>
  <c r="BB19" i="6"/>
  <c r="BB17" i="6"/>
  <c r="BC8" i="6"/>
  <c r="BD15" i="6"/>
  <c r="BE6" i="6"/>
  <c r="BB20" i="6"/>
  <c r="BC11" i="6"/>
  <c r="BA16" i="6"/>
  <c r="BB7" i="6"/>
  <c r="BC14" i="6"/>
  <c r="BD5" i="6"/>
  <c r="BF6" i="6" l="1"/>
  <c r="BE15" i="6"/>
  <c r="BC20" i="6"/>
  <c r="BD11" i="6"/>
  <c r="BC18" i="6"/>
  <c r="BD9" i="6"/>
  <c r="BD14" i="6"/>
  <c r="BE5" i="6"/>
  <c r="BD8" i="6"/>
  <c r="BC17" i="6"/>
  <c r="BB16" i="6"/>
  <c r="BC7" i="6"/>
  <c r="BD10" i="6"/>
  <c r="BC19" i="6"/>
  <c r="BE8" i="6" l="1"/>
  <c r="BD17" i="6"/>
  <c r="BF15" i="6"/>
  <c r="BG6" i="6"/>
  <c r="BE14" i="6"/>
  <c r="BF5" i="6"/>
  <c r="BE9" i="6"/>
  <c r="BD18" i="6"/>
  <c r="BE10" i="6"/>
  <c r="BD19" i="6"/>
  <c r="BD7" i="6"/>
  <c r="BC16" i="6"/>
  <c r="BD20" i="6"/>
  <c r="BE11" i="6"/>
  <c r="BF11" i="6" l="1"/>
  <c r="BE20" i="6"/>
  <c r="BF8" i="6"/>
  <c r="BE17" i="6"/>
  <c r="BE19" i="6"/>
  <c r="BF10" i="6"/>
  <c r="BE18" i="6"/>
  <c r="BF9" i="6"/>
  <c r="BG15" i="6"/>
  <c r="BH6" i="6"/>
  <c r="BG5" i="6"/>
  <c r="BF14" i="6"/>
  <c r="BD16" i="6"/>
  <c r="BE7" i="6"/>
  <c r="BH15" i="6" l="1"/>
  <c r="BI6" i="6"/>
  <c r="BF18" i="6"/>
  <c r="BG9" i="6"/>
  <c r="BG11" i="6"/>
  <c r="BF20" i="6"/>
  <c r="BE16" i="6"/>
  <c r="BF7" i="6"/>
  <c r="BG10" i="6"/>
  <c r="BF19" i="6"/>
  <c r="BG14" i="6"/>
  <c r="BH5" i="6"/>
  <c r="BG8" i="6"/>
  <c r="BF17" i="6"/>
  <c r="BG18" i="6" l="1"/>
  <c r="BH9" i="6"/>
  <c r="BG20" i="6"/>
  <c r="BH11" i="6"/>
  <c r="BH14" i="6"/>
  <c r="BI5" i="6"/>
  <c r="BJ6" i="6"/>
  <c r="BJ15" i="6" s="1"/>
  <c r="BI15" i="6"/>
  <c r="BF16" i="6"/>
  <c r="BG7" i="6"/>
  <c r="BG17" i="6"/>
  <c r="BH8" i="6"/>
  <c r="BG19" i="6"/>
  <c r="BH10" i="6"/>
  <c r="BH19" i="6" l="1"/>
  <c r="BI10" i="6"/>
  <c r="BH17" i="6"/>
  <c r="BI8" i="6"/>
  <c r="BH20" i="6"/>
  <c r="BI11" i="6"/>
  <c r="BJ5" i="6"/>
  <c r="BJ14" i="6" s="1"/>
  <c r="BI14" i="6"/>
  <c r="BG16" i="6"/>
  <c r="BH7" i="6"/>
  <c r="BH18" i="6"/>
  <c r="BI9" i="6"/>
  <c r="BI20" i="6" l="1"/>
  <c r="BJ11" i="6"/>
  <c r="BJ20" i="6" s="1"/>
  <c r="BJ9" i="6"/>
  <c r="BJ18" i="6" s="1"/>
  <c r="BI18" i="6"/>
  <c r="BJ8" i="6"/>
  <c r="BJ17" i="6" s="1"/>
  <c r="BI17" i="6"/>
  <c r="BH16" i="6"/>
  <c r="BI7" i="6"/>
  <c r="BJ10" i="6"/>
  <c r="BJ19" i="6" s="1"/>
  <c r="BI19" i="6"/>
  <c r="BJ7" i="6" l="1"/>
  <c r="BJ16" i="6" s="1"/>
  <c r="BI16" i="6"/>
  <c r="BP4" i="6" l="1"/>
  <c r="E4" i="6" l="1"/>
  <c r="F4" i="6" l="1"/>
  <c r="E13" i="6"/>
  <c r="G4" i="6" l="1"/>
  <c r="F13" i="6"/>
  <c r="BK13" i="6" l="1"/>
  <c r="G13" i="6"/>
  <c r="H4" i="6"/>
  <c r="BM13" i="6" l="1"/>
  <c r="BL13" i="6"/>
  <c r="I4" i="6"/>
  <c r="H13" i="6"/>
  <c r="J4" i="6" l="1"/>
  <c r="I13" i="6"/>
  <c r="K4" i="6" l="1"/>
  <c r="J13" i="6"/>
  <c r="L4" i="6" l="1"/>
  <c r="K13" i="6"/>
  <c r="M4" i="6" l="1"/>
  <c r="L13" i="6"/>
  <c r="M13" i="6" l="1"/>
  <c r="N4" i="6"/>
  <c r="N13" i="6" l="1"/>
  <c r="O4" i="6"/>
  <c r="P4" i="6" l="1"/>
  <c r="O13" i="6"/>
  <c r="P13" i="6" l="1"/>
  <c r="Q4" i="6"/>
  <c r="Q13" i="6" l="1"/>
  <c r="R4" i="6"/>
  <c r="S4" i="6" l="1"/>
  <c r="R13" i="6"/>
  <c r="T4" i="6" l="1"/>
  <c r="S13" i="6"/>
  <c r="U4" i="6" l="1"/>
  <c r="T13" i="6"/>
  <c r="U13" i="6" l="1"/>
  <c r="V4" i="6"/>
  <c r="V13" i="6" l="1"/>
  <c r="W4" i="6"/>
  <c r="X4" i="6" l="1"/>
  <c r="W13" i="6"/>
  <c r="Y4" i="6" l="1"/>
  <c r="X13" i="6"/>
  <c r="Z4" i="6" l="1"/>
  <c r="Y13" i="6"/>
  <c r="AA4" i="6" l="1"/>
  <c r="Z13" i="6"/>
  <c r="AB4" i="6" l="1"/>
  <c r="AA13" i="6"/>
  <c r="AC4" i="6" l="1"/>
  <c r="AB13" i="6"/>
  <c r="AC13" i="6" l="1"/>
  <c r="AD4" i="6"/>
  <c r="AD13" i="6" l="1"/>
  <c r="AE4" i="6"/>
  <c r="AF4" i="6" s="1"/>
  <c r="AE2" i="6" l="1"/>
  <c r="AF13" i="6"/>
  <c r="AG4" i="6"/>
  <c r="BN4" i="6"/>
  <c r="AE13" i="6"/>
  <c r="AH4" i="6" l="1"/>
  <c r="AG13" i="6"/>
  <c r="AH13" i="6" l="1"/>
  <c r="AI4" i="6"/>
  <c r="AJ4" i="6" l="1"/>
  <c r="AI13" i="6"/>
  <c r="AJ13" i="6" l="1"/>
  <c r="AK4" i="6"/>
  <c r="AK13" i="6" l="1"/>
  <c r="AL4" i="6"/>
  <c r="AL13" i="6" l="1"/>
  <c r="AM4" i="6"/>
  <c r="AM13" i="6" l="1"/>
  <c r="AN4" i="6"/>
  <c r="AO4" i="6" l="1"/>
  <c r="AN13" i="6"/>
  <c r="AP4" i="6" l="1"/>
  <c r="AO13" i="6"/>
  <c r="AP13" i="6" l="1"/>
  <c r="AQ4" i="6"/>
  <c r="AR4" i="6" l="1"/>
  <c r="AQ13" i="6"/>
  <c r="AS4" i="6" l="1"/>
  <c r="AR13" i="6"/>
  <c r="AS13" i="6" l="1"/>
  <c r="AT4" i="6"/>
  <c r="AT13" i="6" l="1"/>
  <c r="AU4" i="6"/>
  <c r="AU13" i="6" l="1"/>
  <c r="AV4" i="6"/>
  <c r="AW4" i="6" l="1"/>
  <c r="AV13" i="6"/>
  <c r="AX4" i="6" l="1"/>
  <c r="AW13" i="6"/>
  <c r="AY4" i="6" l="1"/>
  <c r="AX13" i="6"/>
  <c r="AZ4" i="6" l="1"/>
  <c r="AY13" i="6"/>
  <c r="AZ13" i="6" l="1"/>
  <c r="BA4" i="6"/>
  <c r="BA13" i="6" l="1"/>
  <c r="BB4" i="6"/>
  <c r="BC4" i="6" l="1"/>
  <c r="BB13" i="6"/>
  <c r="BC13" i="6" l="1"/>
  <c r="BD4" i="6"/>
  <c r="BE4" i="6" l="1"/>
  <c r="BD13" i="6"/>
  <c r="BF4" i="6" l="1"/>
  <c r="BE13" i="6"/>
  <c r="BG4" i="6" l="1"/>
  <c r="BF13" i="6"/>
  <c r="BG13" i="6" l="1"/>
  <c r="BH4" i="6"/>
  <c r="BH13" i="6" l="1"/>
  <c r="BI4" i="6"/>
  <c r="BJ4" i="6" s="1"/>
  <c r="BJ13" i="6" l="1"/>
  <c r="BI13" i="6"/>
  <c r="BM4" i="8"/>
  <c r="BN4" i="8" s="1"/>
  <c r="BL13" i="8"/>
  <c r="BB4" i="8" l="1"/>
  <c r="BC4" i="8" l="1"/>
  <c r="BI4" i="8" l="1"/>
  <c r="BJ4" i="8" s="1"/>
  <c r="BL15" i="8" l="1"/>
  <c r="BM6" i="8"/>
  <c r="BN6" i="8" s="1"/>
  <c r="BB6" i="8" l="1"/>
  <c r="BC6" i="8" l="1"/>
  <c r="BI6" i="8" l="1"/>
  <c r="BJ6" i="8" s="1"/>
  <c r="BL16" i="8" l="1"/>
  <c r="BM7" i="8"/>
  <c r="BN7" i="8" s="1"/>
  <c r="BB7" i="8" l="1"/>
  <c r="BC7" i="8" l="1"/>
  <c r="BI7" i="8" l="1"/>
  <c r="BJ7" i="8" s="1"/>
  <c r="BL17" i="8" l="1"/>
  <c r="BM8" i="8"/>
  <c r="BN8" i="8" s="1"/>
  <c r="BB8" i="8" l="1"/>
  <c r="BC8" i="8" l="1"/>
  <c r="BI8" i="8" l="1"/>
  <c r="BJ8" i="8" s="1"/>
  <c r="BL18" i="8" l="1"/>
  <c r="BM9" i="8"/>
  <c r="BN9" i="8" s="1"/>
  <c r="BB9" i="8" l="1"/>
  <c r="BC9" i="8" l="1"/>
  <c r="BI9" i="8" l="1"/>
  <c r="BJ9" i="8" s="1"/>
  <c r="BL19" i="8" l="1"/>
  <c r="BM10" i="8"/>
  <c r="BN10" i="8" s="1"/>
  <c r="BB10" i="8" l="1"/>
  <c r="BC10" i="8" l="1"/>
  <c r="BI10" i="8" l="1"/>
  <c r="BJ10" i="8" s="1"/>
  <c r="BL20" i="8" l="1"/>
  <c r="BM11" i="8"/>
  <c r="BN11" i="8" s="1"/>
  <c r="BB11" i="8" l="1"/>
  <c r="BC11" i="8" l="1"/>
  <c r="BI11" i="8" l="1"/>
  <c r="BJ11" i="8" s="1"/>
</calcChain>
</file>

<file path=xl/sharedStrings.xml><?xml version="1.0" encoding="utf-8"?>
<sst xmlns="http://schemas.openxmlformats.org/spreadsheetml/2006/main" count="17" uniqueCount="5">
  <si>
    <t>60(1)</t>
    <phoneticPr fontId="2" type="noConversion"/>
  </si>
  <si>
    <t>60(2)</t>
    <phoneticPr fontId="2" type="noConversion"/>
  </si>
  <si>
    <t>60(1)</t>
  </si>
  <si>
    <t>60(2)</t>
  </si>
  <si>
    <t>9월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</si>
</sst>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[$-F800]dddd\,\ mmmm\ dd\,\ yyyy"/>
    <numFmt numFmtId="165" formatCode="0_);[Red]\(0\)"/>
    <numFmt numFmtId="166" formatCode="0.00_ "/>
    <numFmt numFmtId="167" formatCode="_-* #,##0.00_-;\-* #,##0.00_-;_-* &quot;-&quot;_-;_-@_-"/>
    <numFmt numFmtId="168" formatCode="0.0"/>
  </numFmts>
  <fonts count="9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1"/>
      <color theme="1"/>
      <name val="Arial"/>
      <family val="2"/>
    </font>
    <font>
      <sz val="5"/>
      <color theme="1"/>
      <name val="Arial"/>
      <family val="2"/>
    </font>
    <font>
      <sz val="5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167" fontId="3" fillId="0" borderId="0" xfId="1" applyNumberFormat="1" applyFont="1">
      <alignment vertical="center"/>
    </xf>
    <xf numFmtId="164" fontId="4" fillId="0" borderId="0" xfId="0" applyNumberFormat="1" applyFont="1">
      <alignment vertical="center"/>
    </xf>
    <xf numFmtId="164" fontId="5" fillId="0" borderId="0" xfId="0" applyNumberFormat="1" applyFont="1">
      <alignment vertical="center"/>
    </xf>
    <xf numFmtId="165" fontId="3" fillId="0" borderId="0" xfId="0" applyNumberFormat="1" applyFont="1">
      <alignment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>
      <alignment vertical="center"/>
    </xf>
    <xf numFmtId="2" fontId="6" fillId="0" borderId="0" xfId="0" applyNumberFormat="1" applyFont="1">
      <alignment vertical="center"/>
    </xf>
    <xf numFmtId="2" fontId="7" fillId="0" borderId="0" xfId="0" applyNumberFormat="1" applyFont="1" applyAlignment="1">
      <alignment horizontal="center" vertical="center"/>
    </xf>
    <xf numFmtId="166" fontId="8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>
      <alignment vertical="center"/>
    </xf>
    <xf numFmtId="2" fontId="6" fillId="0" borderId="0" xfId="0" applyNumberFormat="1" applyFont="1" applyAlignment="1">
      <alignment horizontal="center" vertical="center"/>
    </xf>
    <xf numFmtId="2" fontId="3" fillId="2" borderId="0" xfId="0" applyNumberFormat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7559-5D64-4815-87DC-891A674A449B}">
  <dimension ref="A2:BR29"/>
  <sheetViews>
    <sheetView workbookViewId="0">
      <pane xSplit="1" ySplit="3" topLeftCell="AW4" activePane="bottomRight" state="frozen"/>
      <selection pane="topRight" activeCell="B1" sqref="B1"/>
      <selection pane="bottomLeft" activeCell="A4" sqref="A4"/>
      <selection pane="bottomRight" activeCell="BM4" sqref="BM4:BM11"/>
    </sheetView>
  </sheetViews>
  <sheetFormatPr defaultRowHeight="13.8" x14ac:dyDescent="0.25"/>
  <cols>
    <col min="1" max="1" width="13.796875" style="1" customWidth="1"/>
    <col min="2" max="5" width="11.296875" style="1" customWidth="1"/>
    <col min="6" max="6" width="12.69921875" style="1" customWidth="1"/>
    <col min="7" max="7" width="11.5" style="1" customWidth="1"/>
    <col min="8" max="9" width="11.296875" style="1" customWidth="1"/>
    <col min="10" max="10" width="11.5" style="1" customWidth="1"/>
    <col min="11" max="11" width="11.59765625" style="1" customWidth="1"/>
    <col min="12" max="12" width="11.69921875" style="1" customWidth="1"/>
    <col min="13" max="13" width="13.296875" style="1" customWidth="1"/>
    <col min="14" max="14" width="12.09765625" style="1" customWidth="1"/>
    <col min="15" max="15" width="11.5" style="1" customWidth="1"/>
    <col min="16" max="16" width="12" style="1" customWidth="1"/>
    <col min="17" max="17" width="11.5" style="1" customWidth="1"/>
    <col min="18" max="18" width="11.59765625" style="1" customWidth="1"/>
    <col min="19" max="19" width="11.69921875" style="1" customWidth="1"/>
    <col min="20" max="20" width="13.296875" style="1" customWidth="1"/>
    <col min="21" max="21" width="12.09765625" style="1" customWidth="1"/>
    <col min="22" max="22" width="11.5" style="1" customWidth="1"/>
    <col min="23" max="23" width="12" style="1" customWidth="1"/>
    <col min="24" max="24" width="11.5" style="1" customWidth="1"/>
    <col min="25" max="25" width="11.59765625" style="1" customWidth="1"/>
    <col min="26" max="26" width="11.69921875" style="1" customWidth="1"/>
    <col min="27" max="27" width="13.296875" style="1" customWidth="1"/>
    <col min="28" max="28" width="12.09765625" style="1" customWidth="1"/>
    <col min="29" max="29" width="11.59765625" style="1" customWidth="1"/>
    <col min="30" max="30" width="12" style="1" customWidth="1"/>
    <col min="31" max="31" width="13.5" style="1" customWidth="1"/>
    <col min="32" max="65" width="10.59765625" style="1" customWidth="1"/>
    <col min="66" max="66" width="8.59765625" style="1" bestFit="1" customWidth="1"/>
    <col min="67" max="67" width="7" style="1" bestFit="1" customWidth="1"/>
    <col min="68" max="68" width="6.19921875" style="1" bestFit="1" customWidth="1"/>
    <col min="69" max="16384" width="8.796875" style="1"/>
  </cols>
  <sheetData>
    <row r="2" spans="1:70" x14ac:dyDescent="0.25">
      <c r="AE2" s="2" t="e">
        <f>AF4-#REF!</f>
        <v>#REF!</v>
      </c>
    </row>
    <row r="3" spans="1:70" x14ac:dyDescent="0.25">
      <c r="B3" s="3">
        <v>45961</v>
      </c>
      <c r="C3" s="4">
        <v>45962</v>
      </c>
      <c r="D3" s="4">
        <v>45991</v>
      </c>
      <c r="E3" s="3">
        <v>45992</v>
      </c>
      <c r="F3" s="3">
        <v>45993</v>
      </c>
      <c r="G3" s="3">
        <v>45994</v>
      </c>
      <c r="H3" s="3">
        <v>45995</v>
      </c>
      <c r="I3" s="3">
        <v>45996</v>
      </c>
      <c r="J3" s="4">
        <v>45997</v>
      </c>
      <c r="K3" s="4">
        <v>45998</v>
      </c>
      <c r="L3" s="3">
        <v>45999</v>
      </c>
      <c r="M3" s="3">
        <v>46000</v>
      </c>
      <c r="N3" s="3">
        <v>46001</v>
      </c>
      <c r="O3" s="3">
        <v>46002</v>
      </c>
      <c r="P3" s="3">
        <v>46003</v>
      </c>
      <c r="Q3" s="4">
        <v>46004</v>
      </c>
      <c r="R3" s="4">
        <v>46005</v>
      </c>
      <c r="S3" s="3">
        <v>46006</v>
      </c>
      <c r="T3" s="3">
        <v>46007</v>
      </c>
      <c r="U3" s="3">
        <v>46008</v>
      </c>
      <c r="V3" s="3">
        <v>46009</v>
      </c>
      <c r="W3" s="3">
        <v>46010</v>
      </c>
      <c r="X3" s="4">
        <v>46011</v>
      </c>
      <c r="Y3" s="4">
        <v>46012</v>
      </c>
      <c r="Z3" s="3">
        <v>46013</v>
      </c>
      <c r="AA3" s="3">
        <v>46014</v>
      </c>
      <c r="AB3" s="3">
        <v>46015</v>
      </c>
      <c r="AC3" s="4">
        <v>46016</v>
      </c>
      <c r="AD3" s="3">
        <v>46017</v>
      </c>
      <c r="AE3" s="4">
        <v>46018</v>
      </c>
      <c r="AF3" s="4">
        <v>46019</v>
      </c>
      <c r="AG3" s="3">
        <v>46020</v>
      </c>
      <c r="AH3" s="3">
        <v>46021</v>
      </c>
      <c r="AI3" s="4">
        <v>46022</v>
      </c>
      <c r="AJ3" s="4">
        <v>46023</v>
      </c>
      <c r="AK3" s="4">
        <v>46024</v>
      </c>
      <c r="AL3" s="4">
        <v>46025</v>
      </c>
      <c r="AM3" s="4">
        <v>46026</v>
      </c>
      <c r="AN3" s="3">
        <v>46027</v>
      </c>
      <c r="AO3" s="3">
        <v>46028</v>
      </c>
      <c r="AP3" s="3">
        <v>46029</v>
      </c>
      <c r="AQ3" s="3">
        <v>46030</v>
      </c>
      <c r="AR3" s="3">
        <v>46031</v>
      </c>
      <c r="AS3" s="4">
        <v>46032</v>
      </c>
      <c r="AT3" s="4">
        <v>46033</v>
      </c>
      <c r="AU3" s="3">
        <v>46034</v>
      </c>
      <c r="AV3" s="3">
        <v>46035</v>
      </c>
      <c r="AW3" s="3">
        <v>46036</v>
      </c>
      <c r="AX3" s="3">
        <v>46037</v>
      </c>
      <c r="AY3" s="3">
        <v>46038</v>
      </c>
      <c r="AZ3" s="4">
        <v>46039</v>
      </c>
      <c r="BA3" s="4">
        <v>46040</v>
      </c>
      <c r="BB3" s="3">
        <v>46041</v>
      </c>
      <c r="BC3" s="3">
        <v>46042</v>
      </c>
      <c r="BD3" s="3">
        <v>46043</v>
      </c>
      <c r="BE3" s="3">
        <v>46044</v>
      </c>
      <c r="BF3" s="3">
        <v>46045</v>
      </c>
      <c r="BG3" s="4">
        <v>46046</v>
      </c>
      <c r="BH3" s="4">
        <v>46047</v>
      </c>
      <c r="BI3" s="3">
        <v>46048</v>
      </c>
      <c r="BJ3" s="3">
        <v>46049</v>
      </c>
      <c r="BK3" s="3">
        <v>46050</v>
      </c>
      <c r="BL3" s="3">
        <v>46051</v>
      </c>
      <c r="BM3" s="3">
        <v>46052</v>
      </c>
      <c r="BO3" s="5">
        <f>COUNT(B3:BK3)-20</f>
        <v>42</v>
      </c>
      <c r="BR3" s="1" t="s">
        <v>4</v>
      </c>
    </row>
    <row r="4" spans="1:70" s="7" customFormat="1" x14ac:dyDescent="0.25">
      <c r="A4" s="6">
        <v>500</v>
      </c>
      <c r="B4" s="7">
        <v>13132.3</v>
      </c>
      <c r="C4" s="7">
        <f t="shared" ref="C4:C11" si="0">B4</f>
        <v>13132.3</v>
      </c>
      <c r="D4" s="7">
        <v>13317.6</v>
      </c>
      <c r="E4" s="7">
        <f t="shared" ref="E4:I11" si="1">D4+$BP4</f>
        <v>13322.15</v>
      </c>
      <c r="F4" s="7">
        <f t="shared" si="1"/>
        <v>13326.699999999999</v>
      </c>
      <c r="G4" s="7">
        <f t="shared" si="1"/>
        <v>13331.249999999998</v>
      </c>
      <c r="H4" s="7">
        <f t="shared" si="1"/>
        <v>13335.799999999997</v>
      </c>
      <c r="I4" s="7">
        <f t="shared" si="1"/>
        <v>13340.349999999997</v>
      </c>
      <c r="J4" s="7">
        <f t="shared" ref="J4:K11" si="2">I4</f>
        <v>13340.349999999997</v>
      </c>
      <c r="K4" s="7">
        <f t="shared" si="2"/>
        <v>13340.349999999997</v>
      </c>
      <c r="L4" s="7">
        <f t="shared" ref="L4:L11" si="3">K4+$BP4</f>
        <v>13344.899999999996</v>
      </c>
      <c r="M4" s="7">
        <f t="shared" ref="M4:M11" si="4">L4</f>
        <v>13344.899999999996</v>
      </c>
      <c r="N4" s="7">
        <f t="shared" ref="N4:P11" si="5">M4+$BP4</f>
        <v>13349.449999999995</v>
      </c>
      <c r="O4" s="7">
        <f t="shared" si="5"/>
        <v>13353.999999999995</v>
      </c>
      <c r="P4" s="7">
        <f t="shared" si="5"/>
        <v>13358.549999999994</v>
      </c>
      <c r="Q4" s="7">
        <f t="shared" ref="Q4:R11" si="6">P4</f>
        <v>13358.549999999994</v>
      </c>
      <c r="R4" s="7">
        <f t="shared" si="6"/>
        <v>13358.549999999994</v>
      </c>
      <c r="S4" s="7">
        <f t="shared" ref="S4:W11" si="7">R4+$BP4</f>
        <v>13363.099999999993</v>
      </c>
      <c r="T4" s="7">
        <f t="shared" si="7"/>
        <v>13367.649999999992</v>
      </c>
      <c r="U4" s="7">
        <f t="shared" si="7"/>
        <v>13372.199999999992</v>
      </c>
      <c r="V4" s="7">
        <f t="shared" si="7"/>
        <v>13376.749999999991</v>
      </c>
      <c r="W4" s="7">
        <f t="shared" si="7"/>
        <v>13381.29999999999</v>
      </c>
      <c r="X4" s="7">
        <f t="shared" ref="X4:Y11" si="8">W4</f>
        <v>13381.29999999999</v>
      </c>
      <c r="Y4" s="7">
        <f t="shared" si="8"/>
        <v>13381.29999999999</v>
      </c>
      <c r="Z4" s="7">
        <f t="shared" ref="Z4:AD11" si="9">Y4+$BP4</f>
        <v>13385.849999999989</v>
      </c>
      <c r="AA4" s="7">
        <f t="shared" si="9"/>
        <v>13390.399999999989</v>
      </c>
      <c r="AB4" s="7">
        <f t="shared" si="9"/>
        <v>13394.949999999988</v>
      </c>
      <c r="AC4" s="7">
        <f t="shared" si="9"/>
        <v>13399.499999999987</v>
      </c>
      <c r="AD4" s="7">
        <f t="shared" si="9"/>
        <v>13404.049999999987</v>
      </c>
      <c r="AE4" s="7">
        <f t="shared" ref="AE4:AE11" si="10">AD4</f>
        <v>13404.049999999987</v>
      </c>
      <c r="AF4" s="7">
        <f t="shared" ref="AF4:AF11" si="11">AE4</f>
        <v>13404.049999999987</v>
      </c>
      <c r="AG4" s="7">
        <f t="shared" ref="AG4:AK4" si="12">AF4+$BP4</f>
        <v>13408.599999999986</v>
      </c>
      <c r="AH4" s="7">
        <f t="shared" si="12"/>
        <v>13413.149999999985</v>
      </c>
      <c r="AI4" s="7">
        <f t="shared" si="12"/>
        <v>13417.699999999984</v>
      </c>
      <c r="AJ4" s="7">
        <f t="shared" si="12"/>
        <v>13422.249999999984</v>
      </c>
      <c r="AK4" s="7">
        <f t="shared" si="12"/>
        <v>13426.799999999983</v>
      </c>
      <c r="AL4" s="7">
        <f t="shared" ref="AL4:AL10" si="13">AK4</f>
        <v>13426.799999999983</v>
      </c>
      <c r="AM4" s="7">
        <f t="shared" ref="AM4:AM11" si="14">AL4</f>
        <v>13426.799999999983</v>
      </c>
      <c r="AN4" s="7">
        <f t="shared" ref="AN4:AR4" si="15">AM4+$BP4</f>
        <v>13431.349999999982</v>
      </c>
      <c r="AO4" s="7">
        <f t="shared" si="15"/>
        <v>13435.899999999981</v>
      </c>
      <c r="AP4" s="7">
        <f t="shared" si="15"/>
        <v>13440.449999999981</v>
      </c>
      <c r="AQ4" s="7">
        <f t="shared" si="15"/>
        <v>13444.99999999998</v>
      </c>
      <c r="AR4" s="7">
        <f t="shared" si="15"/>
        <v>13449.549999999979</v>
      </c>
      <c r="AS4" s="7">
        <f t="shared" ref="AS4:AS11" si="16">AR4</f>
        <v>13449.549999999979</v>
      </c>
      <c r="AT4" s="7">
        <f t="shared" ref="AT4:AT11" si="17">AS4</f>
        <v>13449.549999999979</v>
      </c>
      <c r="AU4" s="7">
        <f t="shared" ref="AU4:AY4" si="18">AT4+$BP4</f>
        <v>13454.099999999979</v>
      </c>
      <c r="AV4" s="7">
        <f t="shared" si="18"/>
        <v>13458.649999999978</v>
      </c>
      <c r="AW4" s="7">
        <f t="shared" si="18"/>
        <v>13463.199999999977</v>
      </c>
      <c r="AX4" s="7">
        <f t="shared" si="18"/>
        <v>13467.749999999976</v>
      </c>
      <c r="AY4" s="7">
        <f t="shared" si="18"/>
        <v>13472.299999999976</v>
      </c>
      <c r="AZ4" s="7">
        <f t="shared" ref="AZ4:AZ11" si="19">AY4</f>
        <v>13472.299999999976</v>
      </c>
      <c r="BA4" s="7">
        <f t="shared" ref="BA4:BA11" si="20">AZ4</f>
        <v>13472.299999999976</v>
      </c>
      <c r="BB4" s="7">
        <f t="shared" ref="BB4:BF4" si="21">BA4+$BP4</f>
        <v>13476.849999999975</v>
      </c>
      <c r="BC4" s="7">
        <f t="shared" si="21"/>
        <v>13481.399999999974</v>
      </c>
      <c r="BD4" s="7">
        <f t="shared" si="21"/>
        <v>13485.949999999973</v>
      </c>
      <c r="BE4" s="7">
        <f t="shared" si="21"/>
        <v>13490.499999999973</v>
      </c>
      <c r="BF4" s="7">
        <f t="shared" si="21"/>
        <v>13495.049999999972</v>
      </c>
      <c r="BG4" s="7">
        <f t="shared" ref="BG4:BG11" si="22">BF4</f>
        <v>13495.049999999972</v>
      </c>
      <c r="BH4" s="7">
        <f t="shared" ref="BH4:BH11" si="23">BG4</f>
        <v>13495.049999999972</v>
      </c>
      <c r="BI4" s="7">
        <f t="shared" ref="BI4:BJ4" si="24">BH4+$BP4</f>
        <v>13499.599999999971</v>
      </c>
      <c r="BJ4" s="7">
        <f t="shared" si="24"/>
        <v>13504.149999999971</v>
      </c>
      <c r="BK4" s="7">
        <v>13508.7</v>
      </c>
      <c r="BM4" s="7">
        <v>13633.825000000001</v>
      </c>
      <c r="BN4" s="7">
        <f>AF4-AE4</f>
        <v>0</v>
      </c>
      <c r="BO4" s="8">
        <f>BK4-D4</f>
        <v>191.10000000000036</v>
      </c>
      <c r="BP4" s="8">
        <f>BO4/$BO$3</f>
        <v>4.5500000000000087</v>
      </c>
      <c r="BQ4" s="9">
        <v>500</v>
      </c>
    </row>
    <row r="5" spans="1:70" s="7" customFormat="1" x14ac:dyDescent="0.25">
      <c r="A5" s="6">
        <v>165</v>
      </c>
      <c r="B5" s="7">
        <v>18087.099999999999</v>
      </c>
      <c r="C5" s="7">
        <f t="shared" si="0"/>
        <v>18087.099999999999</v>
      </c>
      <c r="D5" s="7">
        <v>18295.599999999999</v>
      </c>
      <c r="E5" s="7">
        <f t="shared" si="1"/>
        <v>18301.38095238095</v>
      </c>
      <c r="F5" s="7">
        <f t="shared" si="1"/>
        <v>18307.161904761902</v>
      </c>
      <c r="G5" s="7">
        <f t="shared" si="1"/>
        <v>18312.942857142854</v>
      </c>
      <c r="H5" s="7">
        <f t="shared" si="1"/>
        <v>18318.723809523806</v>
      </c>
      <c r="I5" s="7">
        <f t="shared" si="1"/>
        <v>18324.504761904758</v>
      </c>
      <c r="J5" s="7">
        <f t="shared" si="2"/>
        <v>18324.504761904758</v>
      </c>
      <c r="K5" s="7">
        <f t="shared" si="2"/>
        <v>18324.504761904758</v>
      </c>
      <c r="L5" s="7">
        <f t="shared" si="3"/>
        <v>18330.28571428571</v>
      </c>
      <c r="M5" s="7">
        <f t="shared" si="4"/>
        <v>18330.28571428571</v>
      </c>
      <c r="N5" s="7">
        <f t="shared" si="5"/>
        <v>18336.066666666662</v>
      </c>
      <c r="O5" s="7">
        <f t="shared" si="5"/>
        <v>18341.847619047614</v>
      </c>
      <c r="P5" s="7">
        <f t="shared" si="5"/>
        <v>18347.628571428566</v>
      </c>
      <c r="Q5" s="7">
        <f t="shared" si="6"/>
        <v>18347.628571428566</v>
      </c>
      <c r="R5" s="7">
        <f t="shared" si="6"/>
        <v>18347.628571428566</v>
      </c>
      <c r="S5" s="7">
        <f t="shared" si="7"/>
        <v>18353.409523809518</v>
      </c>
      <c r="T5" s="7">
        <f t="shared" si="7"/>
        <v>18359.19047619047</v>
      </c>
      <c r="U5" s="7">
        <f t="shared" si="7"/>
        <v>18364.971428571422</v>
      </c>
      <c r="V5" s="7">
        <f t="shared" si="7"/>
        <v>18370.752380952374</v>
      </c>
      <c r="W5" s="7">
        <f t="shared" si="7"/>
        <v>18376.533333333326</v>
      </c>
      <c r="X5" s="7">
        <f t="shared" si="8"/>
        <v>18376.533333333326</v>
      </c>
      <c r="Y5" s="7">
        <f t="shared" si="8"/>
        <v>18376.533333333326</v>
      </c>
      <c r="Z5" s="7">
        <f t="shared" si="9"/>
        <v>18382.314285714278</v>
      </c>
      <c r="AA5" s="7">
        <f t="shared" si="9"/>
        <v>18388.095238095229</v>
      </c>
      <c r="AB5" s="7">
        <f t="shared" si="9"/>
        <v>18393.876190476181</v>
      </c>
      <c r="AC5" s="7">
        <f t="shared" si="9"/>
        <v>18399.657142857133</v>
      </c>
      <c r="AD5" s="7">
        <f t="shared" si="9"/>
        <v>18405.438095238085</v>
      </c>
      <c r="AE5" s="7">
        <f t="shared" si="10"/>
        <v>18405.438095238085</v>
      </c>
      <c r="AF5" s="7">
        <f t="shared" si="11"/>
        <v>18405.438095238085</v>
      </c>
      <c r="AG5" s="7">
        <f t="shared" ref="AG5:AK5" si="25">AF5+$BP5</f>
        <v>18411.219047619037</v>
      </c>
      <c r="AH5" s="7">
        <f t="shared" si="25"/>
        <v>18416.999999999989</v>
      </c>
      <c r="AI5" s="7">
        <f t="shared" si="25"/>
        <v>18422.780952380941</v>
      </c>
      <c r="AJ5" s="7">
        <f t="shared" si="25"/>
        <v>18428.561904761893</v>
      </c>
      <c r="AK5" s="7">
        <f t="shared" si="25"/>
        <v>18434.342857142845</v>
      </c>
      <c r="AL5" s="7">
        <f t="shared" si="13"/>
        <v>18434.342857142845</v>
      </c>
      <c r="AM5" s="7">
        <f t="shared" si="14"/>
        <v>18434.342857142845</v>
      </c>
      <c r="AN5" s="7">
        <f t="shared" ref="AN5:AR5" si="26">AM5+$BP5</f>
        <v>18440.123809523797</v>
      </c>
      <c r="AO5" s="7">
        <f t="shared" si="26"/>
        <v>18445.904761904749</v>
      </c>
      <c r="AP5" s="7">
        <f t="shared" si="26"/>
        <v>18451.685714285701</v>
      </c>
      <c r="AQ5" s="7">
        <f t="shared" si="26"/>
        <v>18457.466666666653</v>
      </c>
      <c r="AR5" s="7">
        <f t="shared" si="26"/>
        <v>18463.247619047605</v>
      </c>
      <c r="AS5" s="7">
        <f t="shared" si="16"/>
        <v>18463.247619047605</v>
      </c>
      <c r="AT5" s="7">
        <f t="shared" si="17"/>
        <v>18463.247619047605</v>
      </c>
      <c r="AU5" s="7">
        <f t="shared" ref="AU5:AY5" si="27">AT5+$BP5</f>
        <v>18469.028571428556</v>
      </c>
      <c r="AV5" s="7">
        <f t="shared" si="27"/>
        <v>18474.809523809508</v>
      </c>
      <c r="AW5" s="7">
        <f t="shared" si="27"/>
        <v>18480.59047619046</v>
      </c>
      <c r="AX5" s="7">
        <f t="shared" si="27"/>
        <v>18486.371428571412</v>
      </c>
      <c r="AY5" s="7">
        <f t="shared" si="27"/>
        <v>18492.152380952364</v>
      </c>
      <c r="AZ5" s="7">
        <f t="shared" si="19"/>
        <v>18492.152380952364</v>
      </c>
      <c r="BA5" s="7">
        <f t="shared" si="20"/>
        <v>18492.152380952364</v>
      </c>
      <c r="BB5" s="7">
        <f t="shared" ref="BB5:BF5" si="28">BA5+$BP5</f>
        <v>18497.933333333316</v>
      </c>
      <c r="BC5" s="7">
        <f t="shared" si="28"/>
        <v>18503.714285714268</v>
      </c>
      <c r="BD5" s="7">
        <f t="shared" si="28"/>
        <v>18509.49523809522</v>
      </c>
      <c r="BE5" s="7">
        <f t="shared" si="28"/>
        <v>18515.276190476172</v>
      </c>
      <c r="BF5" s="7">
        <f t="shared" si="28"/>
        <v>18521.057142857124</v>
      </c>
      <c r="BG5" s="7">
        <f t="shared" si="22"/>
        <v>18521.057142857124</v>
      </c>
      <c r="BH5" s="7">
        <f t="shared" si="23"/>
        <v>18521.057142857124</v>
      </c>
      <c r="BI5" s="7">
        <f t="shared" ref="BI5:BJ5" si="29">BH5+$BP5</f>
        <v>18526.838095238076</v>
      </c>
      <c r="BJ5" s="7">
        <f t="shared" si="29"/>
        <v>18532.619047619028</v>
      </c>
      <c r="BK5" s="7">
        <v>18538.400000000001</v>
      </c>
      <c r="BM5" s="7">
        <v>3951.5749999999998</v>
      </c>
      <c r="BN5" s="7">
        <f t="shared" ref="BN5:BN10" si="30">AF5-AE5</f>
        <v>0</v>
      </c>
      <c r="BO5" s="8">
        <f t="shared" ref="BO5:BO9" si="31">BK5-D5</f>
        <v>242.80000000000291</v>
      </c>
      <c r="BP5" s="8">
        <f t="shared" ref="BP5:BP11" si="32">BO5/$BO$3</f>
        <v>5.7809523809524501</v>
      </c>
      <c r="BQ5" s="9">
        <v>165</v>
      </c>
    </row>
    <row r="6" spans="1:70" s="7" customFormat="1" x14ac:dyDescent="0.25">
      <c r="A6" s="6">
        <v>300</v>
      </c>
      <c r="B6" s="7">
        <v>661.61</v>
      </c>
      <c r="C6" s="7">
        <f t="shared" si="0"/>
        <v>661.61</v>
      </c>
      <c r="D6" s="7">
        <v>664.53</v>
      </c>
      <c r="E6" s="7">
        <f t="shared" si="1"/>
        <v>664.58333333333326</v>
      </c>
      <c r="F6" s="7">
        <f t="shared" si="1"/>
        <v>664.63666666666654</v>
      </c>
      <c r="G6" s="7">
        <f t="shared" si="1"/>
        <v>664.68999999999983</v>
      </c>
      <c r="H6" s="7">
        <f t="shared" si="1"/>
        <v>664.74333333333311</v>
      </c>
      <c r="I6" s="7">
        <f t="shared" si="1"/>
        <v>664.7966666666664</v>
      </c>
      <c r="J6" s="7">
        <f t="shared" si="2"/>
        <v>664.7966666666664</v>
      </c>
      <c r="K6" s="7">
        <f t="shared" si="2"/>
        <v>664.7966666666664</v>
      </c>
      <c r="L6" s="7">
        <f t="shared" si="3"/>
        <v>664.84999999999968</v>
      </c>
      <c r="M6" s="7">
        <f t="shared" si="4"/>
        <v>664.84999999999968</v>
      </c>
      <c r="N6" s="7">
        <f t="shared" si="5"/>
        <v>664.90333333333297</v>
      </c>
      <c r="O6" s="7">
        <f t="shared" si="5"/>
        <v>664.95666666666625</v>
      </c>
      <c r="P6" s="7">
        <f t="shared" si="5"/>
        <v>665.00999999999954</v>
      </c>
      <c r="Q6" s="7">
        <f t="shared" si="6"/>
        <v>665.00999999999954</v>
      </c>
      <c r="R6" s="7">
        <f t="shared" si="6"/>
        <v>665.00999999999954</v>
      </c>
      <c r="S6" s="7">
        <f t="shared" si="7"/>
        <v>665.06333333333282</v>
      </c>
      <c r="T6" s="7">
        <f t="shared" si="7"/>
        <v>665.11666666666611</v>
      </c>
      <c r="U6" s="7">
        <f t="shared" si="7"/>
        <v>665.16999999999939</v>
      </c>
      <c r="V6" s="7">
        <f t="shared" si="7"/>
        <v>665.22333333333268</v>
      </c>
      <c r="W6" s="7">
        <f t="shared" si="7"/>
        <v>665.27666666666596</v>
      </c>
      <c r="X6" s="7">
        <f t="shared" si="8"/>
        <v>665.27666666666596</v>
      </c>
      <c r="Y6" s="7">
        <f t="shared" si="8"/>
        <v>665.27666666666596</v>
      </c>
      <c r="Z6" s="7">
        <f t="shared" si="9"/>
        <v>665.32999999999925</v>
      </c>
      <c r="AA6" s="7">
        <f t="shared" si="9"/>
        <v>665.38333333333253</v>
      </c>
      <c r="AB6" s="7">
        <f t="shared" si="9"/>
        <v>665.43666666666581</v>
      </c>
      <c r="AC6" s="7">
        <f t="shared" si="9"/>
        <v>665.4899999999991</v>
      </c>
      <c r="AD6" s="7">
        <f t="shared" si="9"/>
        <v>665.54333333333238</v>
      </c>
      <c r="AE6" s="7">
        <f t="shared" si="10"/>
        <v>665.54333333333238</v>
      </c>
      <c r="AF6" s="7">
        <f t="shared" si="11"/>
        <v>665.54333333333238</v>
      </c>
      <c r="AG6" s="7">
        <f t="shared" ref="AG6:AK6" si="33">AF6+$BP6</f>
        <v>665.59666666666567</v>
      </c>
      <c r="AH6" s="7">
        <f t="shared" si="33"/>
        <v>665.64999999999895</v>
      </c>
      <c r="AI6" s="7">
        <f t="shared" si="33"/>
        <v>665.70333333333224</v>
      </c>
      <c r="AJ6" s="7">
        <f t="shared" si="33"/>
        <v>665.75666666666552</v>
      </c>
      <c r="AK6" s="7">
        <f t="shared" si="33"/>
        <v>665.80999999999881</v>
      </c>
      <c r="AL6" s="7">
        <f t="shared" si="13"/>
        <v>665.80999999999881</v>
      </c>
      <c r="AM6" s="7">
        <f t="shared" si="14"/>
        <v>665.80999999999881</v>
      </c>
      <c r="AN6" s="7">
        <f t="shared" ref="AN6:AR6" si="34">AM6+$BP6</f>
        <v>665.86333333333209</v>
      </c>
      <c r="AO6" s="7">
        <f t="shared" si="34"/>
        <v>665.91666666666538</v>
      </c>
      <c r="AP6" s="7">
        <f t="shared" si="34"/>
        <v>665.96999999999866</v>
      </c>
      <c r="AQ6" s="7">
        <f t="shared" si="34"/>
        <v>666.02333333333195</v>
      </c>
      <c r="AR6" s="7">
        <f t="shared" si="34"/>
        <v>666.07666666666523</v>
      </c>
      <c r="AS6" s="7">
        <f t="shared" si="16"/>
        <v>666.07666666666523</v>
      </c>
      <c r="AT6" s="7">
        <f t="shared" si="17"/>
        <v>666.07666666666523</v>
      </c>
      <c r="AU6" s="7">
        <f t="shared" ref="AU6:AY6" si="35">AT6+$BP6</f>
        <v>666.12999999999852</v>
      </c>
      <c r="AV6" s="7">
        <f t="shared" si="35"/>
        <v>666.1833333333318</v>
      </c>
      <c r="AW6" s="7">
        <f t="shared" si="35"/>
        <v>666.23666666666509</v>
      </c>
      <c r="AX6" s="7">
        <f t="shared" si="35"/>
        <v>666.28999999999837</v>
      </c>
      <c r="AY6" s="7">
        <f t="shared" si="35"/>
        <v>666.34333333333166</v>
      </c>
      <c r="AZ6" s="7">
        <f t="shared" si="19"/>
        <v>666.34333333333166</v>
      </c>
      <c r="BA6" s="7">
        <f t="shared" si="20"/>
        <v>666.34333333333166</v>
      </c>
      <c r="BB6" s="7">
        <f t="shared" ref="BB6:BF6" si="36">BA6+$BP6</f>
        <v>666.39666666666494</v>
      </c>
      <c r="BC6" s="7">
        <f t="shared" si="36"/>
        <v>666.44999999999823</v>
      </c>
      <c r="BD6" s="7">
        <f t="shared" si="36"/>
        <v>666.50333333333151</v>
      </c>
      <c r="BE6" s="7">
        <f t="shared" si="36"/>
        <v>666.5566666666648</v>
      </c>
      <c r="BF6" s="7">
        <f t="shared" si="36"/>
        <v>666.60999999999808</v>
      </c>
      <c r="BG6" s="7">
        <f t="shared" si="22"/>
        <v>666.60999999999808</v>
      </c>
      <c r="BH6" s="7">
        <f t="shared" si="23"/>
        <v>666.60999999999808</v>
      </c>
      <c r="BI6" s="7">
        <f t="shared" ref="BI6:BJ6" si="37">BH6+$BP6</f>
        <v>666.66333333333137</v>
      </c>
      <c r="BJ6" s="7">
        <f t="shared" si="37"/>
        <v>666.71666666666465</v>
      </c>
      <c r="BK6" s="7">
        <v>666.77</v>
      </c>
      <c r="BM6" s="7">
        <v>668.24</v>
      </c>
      <c r="BN6" s="7">
        <f t="shared" si="30"/>
        <v>0</v>
      </c>
      <c r="BO6" s="8">
        <f t="shared" si="31"/>
        <v>2.2400000000000091</v>
      </c>
      <c r="BP6" s="8">
        <f t="shared" si="32"/>
        <v>5.3333333333333552E-2</v>
      </c>
      <c r="BQ6" s="9">
        <v>300</v>
      </c>
    </row>
    <row r="7" spans="1:70" s="7" customFormat="1" x14ac:dyDescent="0.25">
      <c r="A7" s="6">
        <v>120</v>
      </c>
      <c r="B7" s="7">
        <v>24843.360000000001</v>
      </c>
      <c r="C7" s="7">
        <f t="shared" si="0"/>
        <v>24843.360000000001</v>
      </c>
      <c r="D7" s="7">
        <v>25274.17</v>
      </c>
      <c r="E7" s="7">
        <f t="shared" si="1"/>
        <v>25283.585952380952</v>
      </c>
      <c r="F7" s="7">
        <f t="shared" si="1"/>
        <v>25293.001904761906</v>
      </c>
      <c r="G7" s="7">
        <f t="shared" si="1"/>
        <v>25302.41785714286</v>
      </c>
      <c r="H7" s="7">
        <f t="shared" si="1"/>
        <v>25311.833809523814</v>
      </c>
      <c r="I7" s="7">
        <f t="shared" si="1"/>
        <v>25321.249761904768</v>
      </c>
      <c r="J7" s="7">
        <f t="shared" si="2"/>
        <v>25321.249761904768</v>
      </c>
      <c r="K7" s="7">
        <f t="shared" si="2"/>
        <v>25321.249761904768</v>
      </c>
      <c r="L7" s="7">
        <f t="shared" si="3"/>
        <v>25330.665714285722</v>
      </c>
      <c r="M7" s="7">
        <f t="shared" si="4"/>
        <v>25330.665714285722</v>
      </c>
      <c r="N7" s="7">
        <f t="shared" si="5"/>
        <v>25340.081666666676</v>
      </c>
      <c r="O7" s="7">
        <f t="shared" si="5"/>
        <v>25349.49761904763</v>
      </c>
      <c r="P7" s="7">
        <f t="shared" si="5"/>
        <v>25358.913571428584</v>
      </c>
      <c r="Q7" s="7">
        <f t="shared" si="6"/>
        <v>25358.913571428584</v>
      </c>
      <c r="R7" s="7">
        <f t="shared" si="6"/>
        <v>25358.913571428584</v>
      </c>
      <c r="S7" s="7">
        <f t="shared" si="7"/>
        <v>25368.329523809538</v>
      </c>
      <c r="T7" s="7">
        <f t="shared" si="7"/>
        <v>25377.745476190492</v>
      </c>
      <c r="U7" s="7">
        <f t="shared" si="7"/>
        <v>25387.161428571446</v>
      </c>
      <c r="V7" s="7">
        <f t="shared" si="7"/>
        <v>25396.5773809524</v>
      </c>
      <c r="W7" s="7">
        <f t="shared" si="7"/>
        <v>25405.993333333354</v>
      </c>
      <c r="X7" s="7">
        <f t="shared" si="8"/>
        <v>25405.993333333354</v>
      </c>
      <c r="Y7" s="7">
        <f t="shared" si="8"/>
        <v>25405.993333333354</v>
      </c>
      <c r="Z7" s="7">
        <f t="shared" si="9"/>
        <v>25415.409285714308</v>
      </c>
      <c r="AA7" s="7">
        <f t="shared" si="9"/>
        <v>25424.825238095262</v>
      </c>
      <c r="AB7" s="7">
        <f t="shared" si="9"/>
        <v>25434.241190476216</v>
      </c>
      <c r="AC7" s="7">
        <f t="shared" si="9"/>
        <v>25443.65714285717</v>
      </c>
      <c r="AD7" s="7">
        <f t="shared" si="9"/>
        <v>25453.073095238124</v>
      </c>
      <c r="AE7" s="7">
        <f t="shared" si="10"/>
        <v>25453.073095238124</v>
      </c>
      <c r="AF7" s="7">
        <f t="shared" si="11"/>
        <v>25453.073095238124</v>
      </c>
      <c r="AG7" s="7">
        <f t="shared" ref="AG7:AK7" si="38">AF7+$BP7</f>
        <v>25462.489047619078</v>
      </c>
      <c r="AH7" s="7">
        <f t="shared" si="38"/>
        <v>25471.905000000032</v>
      </c>
      <c r="AI7" s="7">
        <f t="shared" si="38"/>
        <v>25481.320952380986</v>
      </c>
      <c r="AJ7" s="7">
        <f t="shared" si="38"/>
        <v>25490.73690476194</v>
      </c>
      <c r="AK7" s="7">
        <f t="shared" si="38"/>
        <v>25500.152857142893</v>
      </c>
      <c r="AL7" s="7">
        <f t="shared" si="13"/>
        <v>25500.152857142893</v>
      </c>
      <c r="AM7" s="7">
        <f t="shared" si="14"/>
        <v>25500.152857142893</v>
      </c>
      <c r="AN7" s="7">
        <f t="shared" ref="AN7:AR7" si="39">AM7+$BP7</f>
        <v>25509.568809523847</v>
      </c>
      <c r="AO7" s="7">
        <f t="shared" si="39"/>
        <v>25518.984761904801</v>
      </c>
      <c r="AP7" s="7">
        <f t="shared" si="39"/>
        <v>25528.400714285755</v>
      </c>
      <c r="AQ7" s="7">
        <f t="shared" si="39"/>
        <v>25537.816666666709</v>
      </c>
      <c r="AR7" s="7">
        <f t="shared" si="39"/>
        <v>25547.232619047663</v>
      </c>
      <c r="AS7" s="7">
        <f t="shared" si="16"/>
        <v>25547.232619047663</v>
      </c>
      <c r="AT7" s="7">
        <f t="shared" si="17"/>
        <v>25547.232619047663</v>
      </c>
      <c r="AU7" s="7">
        <f t="shared" ref="AU7:AY7" si="40">AT7+$BP7</f>
        <v>25556.648571428617</v>
      </c>
      <c r="AV7" s="7">
        <f t="shared" si="40"/>
        <v>25566.064523809571</v>
      </c>
      <c r="AW7" s="7">
        <f t="shared" si="40"/>
        <v>25575.480476190525</v>
      </c>
      <c r="AX7" s="7">
        <f t="shared" si="40"/>
        <v>25584.896428571479</v>
      </c>
      <c r="AY7" s="7">
        <f t="shared" si="40"/>
        <v>25594.312380952433</v>
      </c>
      <c r="AZ7" s="7">
        <f t="shared" si="19"/>
        <v>25594.312380952433</v>
      </c>
      <c r="BA7" s="7">
        <f t="shared" si="20"/>
        <v>25594.312380952433</v>
      </c>
      <c r="BB7" s="7">
        <f t="shared" ref="BB7:BF7" si="41">BA7+$BP7</f>
        <v>25603.728333333387</v>
      </c>
      <c r="BC7" s="7">
        <f t="shared" si="41"/>
        <v>25613.144285714341</v>
      </c>
      <c r="BD7" s="7">
        <f t="shared" si="41"/>
        <v>25622.560238095295</v>
      </c>
      <c r="BE7" s="7">
        <f t="shared" si="41"/>
        <v>25631.976190476249</v>
      </c>
      <c r="BF7" s="7">
        <f t="shared" si="41"/>
        <v>25641.392142857203</v>
      </c>
      <c r="BG7" s="7">
        <f t="shared" si="22"/>
        <v>25641.392142857203</v>
      </c>
      <c r="BH7" s="7">
        <f t="shared" si="23"/>
        <v>25641.392142857203</v>
      </c>
      <c r="BI7" s="7">
        <f t="shared" ref="BI7:BJ7" si="42">BH7+$BP7</f>
        <v>25650.808095238157</v>
      </c>
      <c r="BJ7" s="7">
        <f t="shared" si="42"/>
        <v>25660.224047619111</v>
      </c>
      <c r="BK7" s="7">
        <v>25669.64</v>
      </c>
      <c r="BM7" s="7">
        <v>25969.996999999999</v>
      </c>
      <c r="BN7" s="7">
        <f t="shared" si="30"/>
        <v>0</v>
      </c>
      <c r="BO7" s="8">
        <f t="shared" si="31"/>
        <v>395.47000000000116</v>
      </c>
      <c r="BP7" s="8">
        <f t="shared" si="32"/>
        <v>9.4159523809524082</v>
      </c>
      <c r="BQ7" s="9">
        <v>120</v>
      </c>
    </row>
    <row r="8" spans="1:70" s="7" customFormat="1" x14ac:dyDescent="0.25">
      <c r="A8" s="6">
        <v>50</v>
      </c>
      <c r="B8" s="7">
        <v>3922</v>
      </c>
      <c r="C8" s="7">
        <f t="shared" si="0"/>
        <v>3922</v>
      </c>
      <c r="D8" s="7">
        <v>3928.5</v>
      </c>
      <c r="E8" s="7">
        <f t="shared" si="1"/>
        <v>3928.7619047619046</v>
      </c>
      <c r="F8" s="7">
        <f t="shared" si="1"/>
        <v>3929.0238095238092</v>
      </c>
      <c r="G8" s="7">
        <f t="shared" si="1"/>
        <v>3929.2857142857138</v>
      </c>
      <c r="H8" s="7">
        <f t="shared" si="1"/>
        <v>3929.5476190476184</v>
      </c>
      <c r="I8" s="7">
        <f t="shared" si="1"/>
        <v>3929.8095238095229</v>
      </c>
      <c r="J8" s="7">
        <f t="shared" si="2"/>
        <v>3929.8095238095229</v>
      </c>
      <c r="K8" s="7">
        <f t="shared" si="2"/>
        <v>3929.8095238095229</v>
      </c>
      <c r="L8" s="7">
        <f t="shared" si="3"/>
        <v>3930.0714285714275</v>
      </c>
      <c r="M8" s="7">
        <f t="shared" si="4"/>
        <v>3930.0714285714275</v>
      </c>
      <c r="N8" s="7">
        <f t="shared" si="5"/>
        <v>3930.3333333333321</v>
      </c>
      <c r="O8" s="7">
        <f t="shared" si="5"/>
        <v>3930.5952380952367</v>
      </c>
      <c r="P8" s="7">
        <f t="shared" si="5"/>
        <v>3930.8571428571413</v>
      </c>
      <c r="Q8" s="7">
        <f t="shared" si="6"/>
        <v>3930.8571428571413</v>
      </c>
      <c r="R8" s="7">
        <f t="shared" si="6"/>
        <v>3930.8571428571413</v>
      </c>
      <c r="S8" s="7">
        <f t="shared" si="7"/>
        <v>3931.1190476190459</v>
      </c>
      <c r="T8" s="7">
        <f t="shared" si="7"/>
        <v>3931.3809523809505</v>
      </c>
      <c r="U8" s="7">
        <f t="shared" si="7"/>
        <v>3931.6428571428551</v>
      </c>
      <c r="V8" s="7">
        <f t="shared" si="7"/>
        <v>3931.9047619047597</v>
      </c>
      <c r="W8" s="7">
        <f t="shared" si="7"/>
        <v>3932.1666666666642</v>
      </c>
      <c r="X8" s="7">
        <f t="shared" si="8"/>
        <v>3932.1666666666642</v>
      </c>
      <c r="Y8" s="7">
        <f t="shared" si="8"/>
        <v>3932.1666666666642</v>
      </c>
      <c r="Z8" s="7">
        <f t="shared" si="9"/>
        <v>3932.4285714285688</v>
      </c>
      <c r="AA8" s="7">
        <f t="shared" si="9"/>
        <v>3932.6904761904734</v>
      </c>
      <c r="AB8" s="7">
        <f t="shared" si="9"/>
        <v>3932.952380952378</v>
      </c>
      <c r="AC8" s="7">
        <f t="shared" si="9"/>
        <v>3933.2142857142826</v>
      </c>
      <c r="AD8" s="7">
        <f t="shared" si="9"/>
        <v>3933.4761904761872</v>
      </c>
      <c r="AE8" s="7">
        <f t="shared" si="10"/>
        <v>3933.4761904761872</v>
      </c>
      <c r="AF8" s="7">
        <f t="shared" si="11"/>
        <v>3933.4761904761872</v>
      </c>
      <c r="AG8" s="7">
        <f t="shared" ref="AG8:AK8" si="43">AF8+$BP8</f>
        <v>3933.7380952380918</v>
      </c>
      <c r="AH8" s="7">
        <f t="shared" si="43"/>
        <v>3933.9999999999964</v>
      </c>
      <c r="AI8" s="7">
        <f t="shared" si="43"/>
        <v>3934.261904761901</v>
      </c>
      <c r="AJ8" s="7">
        <f t="shared" si="43"/>
        <v>3934.5238095238055</v>
      </c>
      <c r="AK8" s="7">
        <f t="shared" si="43"/>
        <v>3934.7857142857101</v>
      </c>
      <c r="AL8" s="7">
        <f t="shared" si="13"/>
        <v>3934.7857142857101</v>
      </c>
      <c r="AM8" s="7">
        <f t="shared" si="14"/>
        <v>3934.7857142857101</v>
      </c>
      <c r="AN8" s="7">
        <f t="shared" ref="AN8:AR8" si="44">AM8+$BP8</f>
        <v>3935.0476190476147</v>
      </c>
      <c r="AO8" s="7">
        <f t="shared" si="44"/>
        <v>3935.3095238095193</v>
      </c>
      <c r="AP8" s="7">
        <f t="shared" si="44"/>
        <v>3935.5714285714239</v>
      </c>
      <c r="AQ8" s="7">
        <f t="shared" si="44"/>
        <v>3935.8333333333285</v>
      </c>
      <c r="AR8" s="7">
        <f t="shared" si="44"/>
        <v>3936.0952380952331</v>
      </c>
      <c r="AS8" s="7">
        <f t="shared" si="16"/>
        <v>3936.0952380952331</v>
      </c>
      <c r="AT8" s="7">
        <f t="shared" si="17"/>
        <v>3936.0952380952331</v>
      </c>
      <c r="AU8" s="7">
        <f t="shared" ref="AU8:AY8" si="45">AT8+$BP8</f>
        <v>3936.3571428571377</v>
      </c>
      <c r="AV8" s="7">
        <f t="shared" si="45"/>
        <v>3936.6190476190422</v>
      </c>
      <c r="AW8" s="7">
        <f t="shared" si="45"/>
        <v>3936.8809523809468</v>
      </c>
      <c r="AX8" s="7">
        <f t="shared" si="45"/>
        <v>3937.1428571428514</v>
      </c>
      <c r="AY8" s="7">
        <f t="shared" si="45"/>
        <v>3937.404761904756</v>
      </c>
      <c r="AZ8" s="7">
        <f t="shared" si="19"/>
        <v>3937.404761904756</v>
      </c>
      <c r="BA8" s="7">
        <f t="shared" si="20"/>
        <v>3937.404761904756</v>
      </c>
      <c r="BB8" s="7">
        <f t="shared" ref="BB8:BF8" si="46">BA8+$BP8</f>
        <v>3937.6666666666606</v>
      </c>
      <c r="BC8" s="7">
        <f t="shared" si="46"/>
        <v>3937.9285714285652</v>
      </c>
      <c r="BD8" s="7">
        <f t="shared" si="46"/>
        <v>3938.1904761904698</v>
      </c>
      <c r="BE8" s="7">
        <f t="shared" si="46"/>
        <v>3938.4523809523744</v>
      </c>
      <c r="BF8" s="7">
        <f t="shared" si="46"/>
        <v>3938.714285714279</v>
      </c>
      <c r="BG8" s="7">
        <f t="shared" si="22"/>
        <v>3938.714285714279</v>
      </c>
      <c r="BH8" s="7">
        <f t="shared" si="23"/>
        <v>3938.714285714279</v>
      </c>
      <c r="BI8" s="7">
        <f t="shared" ref="BI8:BJ8" si="47">BH8+$BP8</f>
        <v>3938.9761904761835</v>
      </c>
      <c r="BJ8" s="7">
        <f t="shared" si="47"/>
        <v>3939.2380952380881</v>
      </c>
      <c r="BK8" s="7">
        <v>3939.5</v>
      </c>
      <c r="BM8" s="7">
        <v>3951.5749999999998</v>
      </c>
      <c r="BN8" s="7">
        <f t="shared" si="30"/>
        <v>0</v>
      </c>
      <c r="BO8" s="8">
        <f t="shared" si="31"/>
        <v>11</v>
      </c>
      <c r="BP8" s="8">
        <f t="shared" si="32"/>
        <v>0.26190476190476192</v>
      </c>
      <c r="BQ8" s="9">
        <v>50</v>
      </c>
    </row>
    <row r="9" spans="1:70" s="7" customFormat="1" x14ac:dyDescent="0.25">
      <c r="A9" s="6">
        <v>250</v>
      </c>
      <c r="B9" s="7">
        <v>10808.78</v>
      </c>
      <c r="C9" s="7">
        <f t="shared" si="0"/>
        <v>10808.78</v>
      </c>
      <c r="D9" s="7">
        <v>10997.03</v>
      </c>
      <c r="E9" s="7">
        <f t="shared" si="1"/>
        <v>11001.499285714286</v>
      </c>
      <c r="F9" s="7">
        <f t="shared" si="1"/>
        <v>11005.968571428572</v>
      </c>
      <c r="G9" s="7">
        <f t="shared" si="1"/>
        <v>11010.437857142857</v>
      </c>
      <c r="H9" s="7">
        <f t="shared" si="1"/>
        <v>11014.907142857142</v>
      </c>
      <c r="I9" s="7">
        <f t="shared" si="1"/>
        <v>11019.376428571428</v>
      </c>
      <c r="J9" s="7">
        <f t="shared" si="2"/>
        <v>11019.376428571428</v>
      </c>
      <c r="K9" s="7">
        <f t="shared" si="2"/>
        <v>11019.376428571428</v>
      </c>
      <c r="L9" s="7">
        <f t="shared" si="3"/>
        <v>11023.845714285713</v>
      </c>
      <c r="M9" s="7">
        <f t="shared" si="4"/>
        <v>11023.845714285713</v>
      </c>
      <c r="N9" s="7">
        <f t="shared" si="5"/>
        <v>11028.314999999999</v>
      </c>
      <c r="O9" s="7">
        <f t="shared" si="5"/>
        <v>11032.784285714284</v>
      </c>
      <c r="P9" s="7">
        <f t="shared" si="5"/>
        <v>11037.25357142857</v>
      </c>
      <c r="Q9" s="7">
        <f t="shared" si="6"/>
        <v>11037.25357142857</v>
      </c>
      <c r="R9" s="7">
        <f t="shared" si="6"/>
        <v>11037.25357142857</v>
      </c>
      <c r="S9" s="7">
        <f t="shared" si="7"/>
        <v>11041.722857142855</v>
      </c>
      <c r="T9" s="7">
        <f t="shared" si="7"/>
        <v>11046.19214285714</v>
      </c>
      <c r="U9" s="7">
        <f t="shared" si="7"/>
        <v>11050.661428571426</v>
      </c>
      <c r="V9" s="7">
        <f t="shared" si="7"/>
        <v>11055.130714285711</v>
      </c>
      <c r="W9" s="7">
        <f t="shared" si="7"/>
        <v>11059.599999999997</v>
      </c>
      <c r="X9" s="7">
        <f t="shared" si="8"/>
        <v>11059.599999999997</v>
      </c>
      <c r="Y9" s="7">
        <f t="shared" si="8"/>
        <v>11059.599999999997</v>
      </c>
      <c r="Z9" s="7">
        <f t="shared" si="9"/>
        <v>11064.069285714282</v>
      </c>
      <c r="AA9" s="7">
        <f t="shared" si="9"/>
        <v>11068.538571428568</v>
      </c>
      <c r="AB9" s="7">
        <f t="shared" si="9"/>
        <v>11073.007857142853</v>
      </c>
      <c r="AC9" s="7">
        <f t="shared" si="9"/>
        <v>11077.477142857138</v>
      </c>
      <c r="AD9" s="7">
        <f t="shared" si="9"/>
        <v>11081.946428571424</v>
      </c>
      <c r="AE9" s="7">
        <f t="shared" si="10"/>
        <v>11081.946428571424</v>
      </c>
      <c r="AF9" s="7">
        <f t="shared" si="11"/>
        <v>11081.946428571424</v>
      </c>
      <c r="AG9" s="7">
        <f t="shared" ref="AG9:AK9" si="48">AF9+$BP9</f>
        <v>11086.415714285709</v>
      </c>
      <c r="AH9" s="7">
        <f t="shared" si="48"/>
        <v>11090.884999999995</v>
      </c>
      <c r="AI9" s="7">
        <f t="shared" si="48"/>
        <v>11095.35428571428</v>
      </c>
      <c r="AJ9" s="7">
        <f t="shared" si="48"/>
        <v>11099.823571428566</v>
      </c>
      <c r="AK9" s="7">
        <f t="shared" si="48"/>
        <v>11104.292857142851</v>
      </c>
      <c r="AL9" s="7">
        <f t="shared" si="13"/>
        <v>11104.292857142851</v>
      </c>
      <c r="AM9" s="7">
        <f t="shared" si="14"/>
        <v>11104.292857142851</v>
      </c>
      <c r="AN9" s="7">
        <f t="shared" ref="AN9:AR9" si="49">AM9+$BP9</f>
        <v>11108.762142857136</v>
      </c>
      <c r="AO9" s="7">
        <f t="shared" si="49"/>
        <v>11113.231428571422</v>
      </c>
      <c r="AP9" s="7">
        <f t="shared" si="49"/>
        <v>11117.700714285707</v>
      </c>
      <c r="AQ9" s="7">
        <f t="shared" si="49"/>
        <v>11122.169999999993</v>
      </c>
      <c r="AR9" s="7">
        <f t="shared" si="49"/>
        <v>11126.639285714278</v>
      </c>
      <c r="AS9" s="7">
        <f t="shared" si="16"/>
        <v>11126.639285714278</v>
      </c>
      <c r="AT9" s="7">
        <f t="shared" si="17"/>
        <v>11126.639285714278</v>
      </c>
      <c r="AU9" s="7">
        <f t="shared" ref="AU9:AY9" si="50">AT9+$BP9</f>
        <v>11131.108571428564</v>
      </c>
      <c r="AV9" s="7">
        <f t="shared" si="50"/>
        <v>11135.577857142849</v>
      </c>
      <c r="AW9" s="7">
        <f t="shared" si="50"/>
        <v>11140.047142857135</v>
      </c>
      <c r="AX9" s="7">
        <f t="shared" si="50"/>
        <v>11144.51642857142</v>
      </c>
      <c r="AY9" s="7">
        <f t="shared" si="50"/>
        <v>11148.985714285705</v>
      </c>
      <c r="AZ9" s="7">
        <f t="shared" si="19"/>
        <v>11148.985714285705</v>
      </c>
      <c r="BA9" s="7">
        <f t="shared" si="20"/>
        <v>11148.985714285705</v>
      </c>
      <c r="BB9" s="7">
        <f t="shared" ref="BB9:BF9" si="51">BA9+$BP9</f>
        <v>11153.454999999991</v>
      </c>
      <c r="BC9" s="7">
        <f t="shared" si="51"/>
        <v>11157.924285714276</v>
      </c>
      <c r="BD9" s="7">
        <f t="shared" si="51"/>
        <v>11162.393571428562</v>
      </c>
      <c r="BE9" s="7">
        <f t="shared" si="51"/>
        <v>11166.862857142847</v>
      </c>
      <c r="BF9" s="7">
        <f t="shared" si="51"/>
        <v>11171.332142857133</v>
      </c>
      <c r="BG9" s="7">
        <f t="shared" si="22"/>
        <v>11171.332142857133</v>
      </c>
      <c r="BH9" s="7">
        <f t="shared" si="23"/>
        <v>11171.332142857133</v>
      </c>
      <c r="BI9" s="7">
        <f t="shared" ref="BI9:BJ9" si="52">BH9+$BP9</f>
        <v>11175.801428571418</v>
      </c>
      <c r="BJ9" s="7">
        <f t="shared" si="52"/>
        <v>11180.270714285703</v>
      </c>
      <c r="BK9" s="7">
        <v>11184.74</v>
      </c>
      <c r="BM9" s="7">
        <v>11321.121999999999</v>
      </c>
      <c r="BN9" s="7">
        <f t="shared" si="30"/>
        <v>0</v>
      </c>
      <c r="BO9" s="8">
        <f t="shared" si="31"/>
        <v>187.70999999999913</v>
      </c>
      <c r="BP9" s="8">
        <f t="shared" si="32"/>
        <v>4.4692857142856939</v>
      </c>
      <c r="BQ9" s="9">
        <v>250</v>
      </c>
    </row>
    <row r="10" spans="1:70" s="7" customFormat="1" x14ac:dyDescent="0.25">
      <c r="A10" s="6" t="s">
        <v>0</v>
      </c>
      <c r="B10" s="7">
        <v>11935.55</v>
      </c>
      <c r="C10" s="7">
        <f t="shared" si="0"/>
        <v>11935.55</v>
      </c>
      <c r="D10" s="7">
        <v>12032.85</v>
      </c>
      <c r="E10" s="7">
        <f t="shared" si="1"/>
        <v>12035.156428571428</v>
      </c>
      <c r="F10" s="7">
        <f t="shared" si="1"/>
        <v>12037.462857142857</v>
      </c>
      <c r="G10" s="7">
        <f t="shared" si="1"/>
        <v>12039.769285714285</v>
      </c>
      <c r="H10" s="7">
        <f t="shared" si="1"/>
        <v>12042.075714285713</v>
      </c>
      <c r="I10" s="7">
        <f t="shared" si="1"/>
        <v>12044.382142857141</v>
      </c>
      <c r="J10" s="7">
        <f t="shared" si="2"/>
        <v>12044.382142857141</v>
      </c>
      <c r="K10" s="7">
        <f t="shared" si="2"/>
        <v>12044.382142857141</v>
      </c>
      <c r="L10" s="7">
        <f t="shared" si="3"/>
        <v>12046.688571428569</v>
      </c>
      <c r="M10" s="7">
        <f t="shared" si="4"/>
        <v>12046.688571428569</v>
      </c>
      <c r="N10" s="7">
        <f t="shared" si="5"/>
        <v>12048.994999999997</v>
      </c>
      <c r="O10" s="7">
        <f t="shared" si="5"/>
        <v>12051.301428571425</v>
      </c>
      <c r="P10" s="7">
        <f t="shared" si="5"/>
        <v>12053.607857142853</v>
      </c>
      <c r="Q10" s="7">
        <f t="shared" si="6"/>
        <v>12053.607857142853</v>
      </c>
      <c r="R10" s="7">
        <f t="shared" si="6"/>
        <v>12053.607857142853</v>
      </c>
      <c r="S10" s="7">
        <f t="shared" si="7"/>
        <v>12055.914285714282</v>
      </c>
      <c r="T10" s="7">
        <f t="shared" si="7"/>
        <v>12058.22071428571</v>
      </c>
      <c r="U10" s="7">
        <f t="shared" si="7"/>
        <v>12060.527142857138</v>
      </c>
      <c r="V10" s="7">
        <f t="shared" si="7"/>
        <v>12062.833571428566</v>
      </c>
      <c r="W10" s="7">
        <f t="shared" si="7"/>
        <v>12065.139999999994</v>
      </c>
      <c r="X10" s="7">
        <f t="shared" si="8"/>
        <v>12065.139999999994</v>
      </c>
      <c r="Y10" s="7">
        <f t="shared" si="8"/>
        <v>12065.139999999994</v>
      </c>
      <c r="Z10" s="7">
        <f t="shared" si="9"/>
        <v>12067.446428571422</v>
      </c>
      <c r="AA10" s="7">
        <f t="shared" si="9"/>
        <v>12069.75285714285</v>
      </c>
      <c r="AB10" s="7">
        <f t="shared" si="9"/>
        <v>12072.059285714278</v>
      </c>
      <c r="AC10" s="7">
        <f t="shared" si="9"/>
        <v>12074.365714285706</v>
      </c>
      <c r="AD10" s="7">
        <f t="shared" si="9"/>
        <v>12076.672142857135</v>
      </c>
      <c r="AE10" s="7">
        <f t="shared" si="10"/>
        <v>12076.672142857135</v>
      </c>
      <c r="AF10" s="7">
        <f t="shared" si="11"/>
        <v>12076.672142857135</v>
      </c>
      <c r="AG10" s="7">
        <f t="shared" ref="AG10:AK10" si="53">AF10+$BP10</f>
        <v>12078.978571428563</v>
      </c>
      <c r="AH10" s="7">
        <f t="shared" si="53"/>
        <v>12081.284999999991</v>
      </c>
      <c r="AI10" s="7">
        <f t="shared" si="53"/>
        <v>12083.591428571419</v>
      </c>
      <c r="AJ10" s="7">
        <f t="shared" si="53"/>
        <v>12085.897857142847</v>
      </c>
      <c r="AK10" s="7">
        <f t="shared" si="53"/>
        <v>12088.204285714275</v>
      </c>
      <c r="AL10" s="7">
        <f t="shared" si="13"/>
        <v>12088.204285714275</v>
      </c>
      <c r="AM10" s="7">
        <f t="shared" si="14"/>
        <v>12088.204285714275</v>
      </c>
      <c r="AN10" s="7">
        <f t="shared" ref="AN10:AR10" si="54">AM10+$BP10</f>
        <v>12090.510714285703</v>
      </c>
      <c r="AO10" s="7">
        <f t="shared" si="54"/>
        <v>12092.817142857131</v>
      </c>
      <c r="AP10" s="7">
        <f t="shared" si="54"/>
        <v>12095.123571428559</v>
      </c>
      <c r="AQ10" s="7">
        <f t="shared" si="54"/>
        <v>12097.429999999988</v>
      </c>
      <c r="AR10" s="7">
        <f t="shared" si="54"/>
        <v>12099.736428571416</v>
      </c>
      <c r="AS10" s="7">
        <f t="shared" si="16"/>
        <v>12099.736428571416</v>
      </c>
      <c r="AT10" s="7">
        <f t="shared" si="17"/>
        <v>12099.736428571416</v>
      </c>
      <c r="AU10" s="7">
        <f t="shared" ref="AU10:AY10" si="55">AT10+$BP10</f>
        <v>12102.042857142844</v>
      </c>
      <c r="AV10" s="7">
        <f t="shared" si="55"/>
        <v>12104.349285714272</v>
      </c>
      <c r="AW10" s="7">
        <f t="shared" si="55"/>
        <v>12106.6557142857</v>
      </c>
      <c r="AX10" s="7">
        <f t="shared" si="55"/>
        <v>12108.962142857128</v>
      </c>
      <c r="AY10" s="7">
        <f t="shared" si="55"/>
        <v>12111.268571428556</v>
      </c>
      <c r="AZ10" s="7">
        <f t="shared" si="19"/>
        <v>12111.268571428556</v>
      </c>
      <c r="BA10" s="7">
        <f t="shared" si="20"/>
        <v>12111.268571428556</v>
      </c>
      <c r="BB10" s="7">
        <f t="shared" ref="BB10:BF10" si="56">BA10+$BP10</f>
        <v>12113.574999999984</v>
      </c>
      <c r="BC10" s="7">
        <f t="shared" si="56"/>
        <v>12115.881428571412</v>
      </c>
      <c r="BD10" s="7">
        <f t="shared" si="56"/>
        <v>12118.187857142841</v>
      </c>
      <c r="BE10" s="7">
        <f t="shared" si="56"/>
        <v>12120.494285714269</v>
      </c>
      <c r="BF10" s="7">
        <f t="shared" si="56"/>
        <v>12122.800714285697</v>
      </c>
      <c r="BG10" s="7">
        <f t="shared" si="22"/>
        <v>12122.800714285697</v>
      </c>
      <c r="BH10" s="7">
        <f t="shared" si="23"/>
        <v>12122.800714285697</v>
      </c>
      <c r="BI10" s="7">
        <f t="shared" ref="BI10:BJ10" si="57">BH10+$BP10</f>
        <v>12125.107142857125</v>
      </c>
      <c r="BJ10" s="7">
        <f t="shared" si="57"/>
        <v>12127.413571428553</v>
      </c>
      <c r="BK10" s="7">
        <v>12129.72</v>
      </c>
      <c r="BM10" s="7">
        <v>12199.307000000001</v>
      </c>
      <c r="BN10" s="7">
        <f t="shared" si="30"/>
        <v>0</v>
      </c>
      <c r="BO10" s="8">
        <f>BK10-D10</f>
        <v>96.869999999998981</v>
      </c>
      <c r="BP10" s="8">
        <f t="shared" si="32"/>
        <v>2.3064285714285471</v>
      </c>
      <c r="BQ10" s="9" t="s">
        <v>0</v>
      </c>
    </row>
    <row r="11" spans="1:70" s="7" customFormat="1" x14ac:dyDescent="0.25">
      <c r="A11" s="6" t="s">
        <v>1</v>
      </c>
      <c r="B11" s="7">
        <v>15839.2</v>
      </c>
      <c r="C11" s="7">
        <f t="shared" si="0"/>
        <v>15839.2</v>
      </c>
      <c r="D11" s="7">
        <v>15871.1</v>
      </c>
      <c r="E11" s="7">
        <f t="shared" si="1"/>
        <v>15872.195238095239</v>
      </c>
      <c r="F11" s="7">
        <f t="shared" si="1"/>
        <v>15873.290476190477</v>
      </c>
      <c r="G11" s="7">
        <f t="shared" si="1"/>
        <v>15874.385714285716</v>
      </c>
      <c r="H11" s="7">
        <f t="shared" si="1"/>
        <v>15875.480952380954</v>
      </c>
      <c r="I11" s="7">
        <f t="shared" si="1"/>
        <v>15876.576190476193</v>
      </c>
      <c r="J11" s="7">
        <f t="shared" si="2"/>
        <v>15876.576190476193</v>
      </c>
      <c r="K11" s="7">
        <f t="shared" si="2"/>
        <v>15876.576190476193</v>
      </c>
      <c r="L11" s="7">
        <f t="shared" si="3"/>
        <v>15877.671428571432</v>
      </c>
      <c r="M11" s="7">
        <f t="shared" si="4"/>
        <v>15877.671428571432</v>
      </c>
      <c r="N11" s="7">
        <f t="shared" si="5"/>
        <v>15878.76666666667</v>
      </c>
      <c r="O11" s="7">
        <f t="shared" si="5"/>
        <v>15879.861904761909</v>
      </c>
      <c r="P11" s="7">
        <f t="shared" si="5"/>
        <v>15880.957142857147</v>
      </c>
      <c r="Q11" s="7">
        <f t="shared" si="6"/>
        <v>15880.957142857147</v>
      </c>
      <c r="R11" s="7">
        <f t="shared" si="6"/>
        <v>15880.957142857147</v>
      </c>
      <c r="S11" s="7">
        <f t="shared" si="7"/>
        <v>15882.052380952386</v>
      </c>
      <c r="T11" s="7">
        <f t="shared" si="7"/>
        <v>15883.147619047624</v>
      </c>
      <c r="U11" s="7">
        <f t="shared" si="7"/>
        <v>15884.242857142863</v>
      </c>
      <c r="V11" s="7">
        <f t="shared" si="7"/>
        <v>15885.338095238101</v>
      </c>
      <c r="W11" s="7">
        <f t="shared" si="7"/>
        <v>15886.43333333334</v>
      </c>
      <c r="X11" s="7">
        <f t="shared" si="8"/>
        <v>15886.43333333334</v>
      </c>
      <c r="Y11" s="7">
        <f t="shared" si="8"/>
        <v>15886.43333333334</v>
      </c>
      <c r="Z11" s="7">
        <f t="shared" si="9"/>
        <v>15887.528571428578</v>
      </c>
      <c r="AA11" s="7">
        <f t="shared" si="9"/>
        <v>15888.623809523817</v>
      </c>
      <c r="AB11" s="7">
        <f t="shared" si="9"/>
        <v>15889.719047619055</v>
      </c>
      <c r="AC11" s="7">
        <f t="shared" si="9"/>
        <v>15890.814285714294</v>
      </c>
      <c r="AD11" s="7">
        <f t="shared" si="9"/>
        <v>15891.909523809532</v>
      </c>
      <c r="AE11" s="7">
        <f t="shared" si="10"/>
        <v>15891.909523809532</v>
      </c>
      <c r="AF11" s="7">
        <f t="shared" si="11"/>
        <v>15891.909523809532</v>
      </c>
      <c r="AG11" s="7">
        <f t="shared" ref="AG11:AK11" si="58">AF11+$BP11</f>
        <v>15893.004761904771</v>
      </c>
      <c r="AH11" s="7">
        <f t="shared" si="58"/>
        <v>15894.100000000009</v>
      </c>
      <c r="AI11" s="7">
        <f t="shared" si="58"/>
        <v>15895.195238095248</v>
      </c>
      <c r="AJ11" s="7">
        <f t="shared" si="58"/>
        <v>15896.290476190487</v>
      </c>
      <c r="AK11" s="7">
        <f t="shared" si="58"/>
        <v>15897.385714285725</v>
      </c>
      <c r="AL11" s="7">
        <f>AK11</f>
        <v>15897.385714285725</v>
      </c>
      <c r="AM11" s="7">
        <f t="shared" si="14"/>
        <v>15897.385714285725</v>
      </c>
      <c r="AN11" s="7">
        <f t="shared" ref="AN11:AR11" si="59">AM11+$BP11</f>
        <v>15898.480952380964</v>
      </c>
      <c r="AO11" s="7">
        <f t="shared" si="59"/>
        <v>15899.576190476202</v>
      </c>
      <c r="AP11" s="7">
        <f t="shared" si="59"/>
        <v>15900.671428571441</v>
      </c>
      <c r="AQ11" s="7">
        <f t="shared" si="59"/>
        <v>15901.766666666679</v>
      </c>
      <c r="AR11" s="7">
        <f t="shared" si="59"/>
        <v>15902.861904761918</v>
      </c>
      <c r="AS11" s="7">
        <f t="shared" si="16"/>
        <v>15902.861904761918</v>
      </c>
      <c r="AT11" s="7">
        <f t="shared" si="17"/>
        <v>15902.861904761918</v>
      </c>
      <c r="AU11" s="7">
        <f t="shared" ref="AU11:AY11" si="60">AT11+$BP11</f>
        <v>15903.957142857156</v>
      </c>
      <c r="AV11" s="7">
        <f t="shared" si="60"/>
        <v>15905.052380952395</v>
      </c>
      <c r="AW11" s="7">
        <f t="shared" si="60"/>
        <v>15906.147619047633</v>
      </c>
      <c r="AX11" s="7">
        <f t="shared" si="60"/>
        <v>15907.242857142872</v>
      </c>
      <c r="AY11" s="7">
        <f t="shared" si="60"/>
        <v>15908.33809523811</v>
      </c>
      <c r="AZ11" s="7">
        <f t="shared" si="19"/>
        <v>15908.33809523811</v>
      </c>
      <c r="BA11" s="7">
        <f t="shared" si="20"/>
        <v>15908.33809523811</v>
      </c>
      <c r="BB11" s="7">
        <f t="shared" ref="BB11:BF11" si="61">BA11+$BP11</f>
        <v>15909.433333333349</v>
      </c>
      <c r="BC11" s="7">
        <f t="shared" si="61"/>
        <v>15910.528571428587</v>
      </c>
      <c r="BD11" s="7">
        <f t="shared" si="61"/>
        <v>15911.623809523826</v>
      </c>
      <c r="BE11" s="7">
        <f t="shared" si="61"/>
        <v>15912.719047619064</v>
      </c>
      <c r="BF11" s="7">
        <f t="shared" si="61"/>
        <v>15913.814285714303</v>
      </c>
      <c r="BG11" s="7">
        <f t="shared" si="22"/>
        <v>15913.814285714303</v>
      </c>
      <c r="BH11" s="7">
        <f t="shared" si="23"/>
        <v>15913.814285714303</v>
      </c>
      <c r="BI11" s="7">
        <f t="shared" ref="BI11:BJ11" si="62">BH11+$BP11</f>
        <v>15914.909523809541</v>
      </c>
      <c r="BJ11" s="7">
        <f t="shared" si="62"/>
        <v>15916.00476190478</v>
      </c>
      <c r="BK11" s="7">
        <v>15917.1</v>
      </c>
      <c r="BM11" s="7">
        <v>15947.758</v>
      </c>
      <c r="BN11" s="7">
        <f>AF11-AE12</f>
        <v>15891.909523809532</v>
      </c>
      <c r="BO11" s="8">
        <f>BK11-D11</f>
        <v>46</v>
      </c>
      <c r="BP11" s="8">
        <f t="shared" si="32"/>
        <v>1.0952380952380953</v>
      </c>
      <c r="BQ11" s="9" t="s">
        <v>1</v>
      </c>
    </row>
    <row r="12" spans="1:70" x14ac:dyDescent="0.25">
      <c r="BN12" s="10"/>
    </row>
    <row r="13" spans="1:70" x14ac:dyDescent="0.25">
      <c r="A13" s="11">
        <v>500</v>
      </c>
      <c r="B13" s="12">
        <f t="shared" ref="B13:AF20" si="63">ROUNDUP(B4,1)</f>
        <v>13132.3</v>
      </c>
      <c r="C13" s="12">
        <f t="shared" si="63"/>
        <v>13132.3</v>
      </c>
      <c r="D13" s="12">
        <f t="shared" si="63"/>
        <v>13317.6</v>
      </c>
      <c r="E13" s="12">
        <f t="shared" si="63"/>
        <v>13322.2</v>
      </c>
      <c r="F13" s="12">
        <f t="shared" si="63"/>
        <v>13326.7</v>
      </c>
      <c r="G13" s="12">
        <f t="shared" si="63"/>
        <v>13331.300000000001</v>
      </c>
      <c r="H13" s="12">
        <f t="shared" si="63"/>
        <v>13335.8</v>
      </c>
      <c r="I13" s="12">
        <f t="shared" si="63"/>
        <v>13340.4</v>
      </c>
      <c r="J13" s="12">
        <f t="shared" si="63"/>
        <v>13340.4</v>
      </c>
      <c r="K13" s="12">
        <f t="shared" si="63"/>
        <v>13340.4</v>
      </c>
      <c r="L13" s="12">
        <f t="shared" si="63"/>
        <v>13344.9</v>
      </c>
      <c r="M13" s="12">
        <f t="shared" si="63"/>
        <v>13344.9</v>
      </c>
      <c r="N13" s="12">
        <f t="shared" si="63"/>
        <v>13349.5</v>
      </c>
      <c r="O13" s="12">
        <f t="shared" si="63"/>
        <v>13354</v>
      </c>
      <c r="P13" s="12">
        <f t="shared" si="63"/>
        <v>13358.6</v>
      </c>
      <c r="Q13" s="12">
        <f t="shared" si="63"/>
        <v>13358.6</v>
      </c>
      <c r="R13" s="12">
        <f t="shared" si="63"/>
        <v>13358.6</v>
      </c>
      <c r="S13" s="12">
        <f t="shared" si="63"/>
        <v>13363.1</v>
      </c>
      <c r="T13" s="12">
        <f t="shared" si="63"/>
        <v>13367.7</v>
      </c>
      <c r="U13" s="12">
        <f t="shared" si="63"/>
        <v>13372.2</v>
      </c>
      <c r="V13" s="12">
        <f t="shared" si="63"/>
        <v>13376.800000000001</v>
      </c>
      <c r="W13" s="12">
        <f t="shared" si="63"/>
        <v>13381.3</v>
      </c>
      <c r="X13" s="12">
        <f t="shared" si="63"/>
        <v>13381.3</v>
      </c>
      <c r="Y13" s="12">
        <f t="shared" si="63"/>
        <v>13381.3</v>
      </c>
      <c r="Z13" s="12">
        <f t="shared" si="63"/>
        <v>13385.9</v>
      </c>
      <c r="AA13" s="12">
        <f t="shared" si="63"/>
        <v>13390.4</v>
      </c>
      <c r="AB13" s="12">
        <f t="shared" si="63"/>
        <v>13395</v>
      </c>
      <c r="AC13" s="12">
        <f t="shared" si="63"/>
        <v>13399.5</v>
      </c>
      <c r="AD13" s="12">
        <f t="shared" si="63"/>
        <v>13404.1</v>
      </c>
      <c r="AE13" s="12">
        <f t="shared" si="63"/>
        <v>13404.1</v>
      </c>
      <c r="AF13" s="12">
        <f t="shared" si="63"/>
        <v>13404.1</v>
      </c>
      <c r="AG13" s="12">
        <f t="shared" ref="AG13:BM13" si="64">ROUNDUP(AG4,1)</f>
        <v>13408.6</v>
      </c>
      <c r="AH13" s="12">
        <f t="shared" si="64"/>
        <v>13413.2</v>
      </c>
      <c r="AI13" s="12">
        <f t="shared" si="64"/>
        <v>13417.7</v>
      </c>
      <c r="AJ13" s="12">
        <f t="shared" si="64"/>
        <v>13422.300000000001</v>
      </c>
      <c r="AK13" s="12">
        <f t="shared" si="64"/>
        <v>13426.8</v>
      </c>
      <c r="AL13" s="12">
        <f t="shared" si="64"/>
        <v>13426.8</v>
      </c>
      <c r="AM13" s="12">
        <f t="shared" si="64"/>
        <v>13426.8</v>
      </c>
      <c r="AN13" s="12">
        <f t="shared" si="64"/>
        <v>13431.4</v>
      </c>
      <c r="AO13" s="12">
        <f t="shared" si="64"/>
        <v>13435.9</v>
      </c>
      <c r="AP13" s="12">
        <f t="shared" si="64"/>
        <v>13440.5</v>
      </c>
      <c r="AQ13" s="12">
        <f t="shared" si="64"/>
        <v>13445</v>
      </c>
      <c r="AR13" s="12">
        <f t="shared" si="64"/>
        <v>13449.6</v>
      </c>
      <c r="AS13" s="12">
        <f t="shared" si="64"/>
        <v>13449.6</v>
      </c>
      <c r="AT13" s="12">
        <f t="shared" si="64"/>
        <v>13449.6</v>
      </c>
      <c r="AU13" s="12">
        <f t="shared" si="64"/>
        <v>13454.1</v>
      </c>
      <c r="AV13" s="12">
        <f t="shared" si="64"/>
        <v>13458.7</v>
      </c>
      <c r="AW13" s="12">
        <f t="shared" si="64"/>
        <v>13463.2</v>
      </c>
      <c r="AX13" s="12">
        <f t="shared" si="64"/>
        <v>13467.800000000001</v>
      </c>
      <c r="AY13" s="12">
        <f t="shared" si="64"/>
        <v>13472.3</v>
      </c>
      <c r="AZ13" s="12">
        <f t="shared" si="64"/>
        <v>13472.3</v>
      </c>
      <c r="BA13" s="12">
        <f t="shared" si="64"/>
        <v>13472.3</v>
      </c>
      <c r="BB13" s="12">
        <f t="shared" si="64"/>
        <v>13476.9</v>
      </c>
      <c r="BC13" s="12">
        <f t="shared" si="64"/>
        <v>13481.4</v>
      </c>
      <c r="BD13" s="12">
        <f t="shared" si="64"/>
        <v>13486</v>
      </c>
      <c r="BE13" s="12">
        <f t="shared" si="64"/>
        <v>13490.5</v>
      </c>
      <c r="BF13" s="12">
        <f t="shared" si="64"/>
        <v>13495.1</v>
      </c>
      <c r="BG13" s="12">
        <f t="shared" si="64"/>
        <v>13495.1</v>
      </c>
      <c r="BH13" s="12">
        <f t="shared" si="64"/>
        <v>13495.1</v>
      </c>
      <c r="BI13" s="12">
        <f t="shared" si="64"/>
        <v>13499.6</v>
      </c>
      <c r="BJ13" s="12">
        <f t="shared" si="64"/>
        <v>13504.2</v>
      </c>
      <c r="BK13" s="12">
        <f t="shared" si="64"/>
        <v>13508.7</v>
      </c>
      <c r="BL13" s="12">
        <f t="shared" si="64"/>
        <v>0</v>
      </c>
      <c r="BM13" s="12">
        <f t="shared" si="64"/>
        <v>13633.9</v>
      </c>
    </row>
    <row r="14" spans="1:70" x14ac:dyDescent="0.25">
      <c r="A14" s="11">
        <v>165</v>
      </c>
      <c r="B14" s="12">
        <f t="shared" si="63"/>
        <v>18087.099999999999</v>
      </c>
      <c r="C14" s="12">
        <f t="shared" si="63"/>
        <v>18087.099999999999</v>
      </c>
      <c r="D14" s="12">
        <f t="shared" si="63"/>
        <v>18295.599999999999</v>
      </c>
      <c r="E14" s="12">
        <f t="shared" si="63"/>
        <v>18301.399999999998</v>
      </c>
      <c r="F14" s="12">
        <f t="shared" si="63"/>
        <v>18307.199999999997</v>
      </c>
      <c r="G14" s="12">
        <f t="shared" si="63"/>
        <v>18313</v>
      </c>
      <c r="H14" s="12">
        <f t="shared" si="63"/>
        <v>18318.8</v>
      </c>
      <c r="I14" s="12">
        <f t="shared" si="63"/>
        <v>18324.599999999999</v>
      </c>
      <c r="J14" s="12">
        <f t="shared" si="63"/>
        <v>18324.599999999999</v>
      </c>
      <c r="K14" s="12">
        <f t="shared" si="63"/>
        <v>18324.599999999999</v>
      </c>
      <c r="L14" s="12">
        <f t="shared" si="63"/>
        <v>18330.3</v>
      </c>
      <c r="M14" s="12">
        <f t="shared" si="63"/>
        <v>18330.3</v>
      </c>
      <c r="N14" s="12">
        <f t="shared" si="63"/>
        <v>18336.099999999999</v>
      </c>
      <c r="O14" s="12">
        <f t="shared" si="63"/>
        <v>18341.899999999998</v>
      </c>
      <c r="P14" s="12">
        <f t="shared" si="63"/>
        <v>18347.699999999997</v>
      </c>
      <c r="Q14" s="12">
        <f t="shared" si="63"/>
        <v>18347.699999999997</v>
      </c>
      <c r="R14" s="12">
        <f t="shared" si="63"/>
        <v>18347.699999999997</v>
      </c>
      <c r="S14" s="12">
        <f t="shared" si="63"/>
        <v>18353.5</v>
      </c>
      <c r="T14" s="12">
        <f t="shared" si="63"/>
        <v>18359.199999999997</v>
      </c>
      <c r="U14" s="12">
        <f t="shared" si="63"/>
        <v>18365</v>
      </c>
      <c r="V14" s="12">
        <f t="shared" si="63"/>
        <v>18370.8</v>
      </c>
      <c r="W14" s="12">
        <f t="shared" si="63"/>
        <v>18376.599999999999</v>
      </c>
      <c r="X14" s="12">
        <f t="shared" si="63"/>
        <v>18376.599999999999</v>
      </c>
      <c r="Y14" s="12">
        <f t="shared" si="63"/>
        <v>18376.599999999999</v>
      </c>
      <c r="Z14" s="12">
        <f t="shared" si="63"/>
        <v>18382.399999999998</v>
      </c>
      <c r="AA14" s="12">
        <f t="shared" si="63"/>
        <v>18388.099999999999</v>
      </c>
      <c r="AB14" s="12">
        <f t="shared" si="63"/>
        <v>18393.899999999998</v>
      </c>
      <c r="AC14" s="12">
        <f t="shared" si="63"/>
        <v>18399.699999999997</v>
      </c>
      <c r="AD14" s="12">
        <f t="shared" si="63"/>
        <v>18405.5</v>
      </c>
      <c r="AE14" s="12">
        <f t="shared" si="63"/>
        <v>18405.5</v>
      </c>
      <c r="AF14" s="12">
        <f t="shared" si="63"/>
        <v>18405.5</v>
      </c>
      <c r="AG14" s="12">
        <f t="shared" ref="AG14:BM14" si="65">ROUNDUP(AG5,1)</f>
        <v>18411.3</v>
      </c>
      <c r="AH14" s="12">
        <f t="shared" si="65"/>
        <v>18417</v>
      </c>
      <c r="AI14" s="12">
        <f t="shared" si="65"/>
        <v>18422.8</v>
      </c>
      <c r="AJ14" s="12">
        <f t="shared" si="65"/>
        <v>18428.599999999999</v>
      </c>
      <c r="AK14" s="12">
        <f t="shared" si="65"/>
        <v>18434.399999999998</v>
      </c>
      <c r="AL14" s="12">
        <f t="shared" si="65"/>
        <v>18434.399999999998</v>
      </c>
      <c r="AM14" s="12">
        <f t="shared" si="65"/>
        <v>18434.399999999998</v>
      </c>
      <c r="AN14" s="12">
        <f t="shared" si="65"/>
        <v>18440.199999999997</v>
      </c>
      <c r="AO14" s="12">
        <f t="shared" si="65"/>
        <v>18446</v>
      </c>
      <c r="AP14" s="12">
        <f t="shared" si="65"/>
        <v>18451.699999999997</v>
      </c>
      <c r="AQ14" s="12">
        <f t="shared" si="65"/>
        <v>18457.5</v>
      </c>
      <c r="AR14" s="12">
        <f t="shared" si="65"/>
        <v>18463.3</v>
      </c>
      <c r="AS14" s="12">
        <f t="shared" si="65"/>
        <v>18463.3</v>
      </c>
      <c r="AT14" s="12">
        <f t="shared" si="65"/>
        <v>18463.3</v>
      </c>
      <c r="AU14" s="12">
        <f t="shared" si="65"/>
        <v>18469.099999999999</v>
      </c>
      <c r="AV14" s="12">
        <f t="shared" si="65"/>
        <v>18474.899999999998</v>
      </c>
      <c r="AW14" s="12">
        <f t="shared" si="65"/>
        <v>18480.599999999999</v>
      </c>
      <c r="AX14" s="12">
        <f t="shared" si="65"/>
        <v>18486.399999999998</v>
      </c>
      <c r="AY14" s="12">
        <f t="shared" si="65"/>
        <v>18492.199999999997</v>
      </c>
      <c r="AZ14" s="12">
        <f t="shared" si="65"/>
        <v>18492.199999999997</v>
      </c>
      <c r="BA14" s="12">
        <f t="shared" si="65"/>
        <v>18492.199999999997</v>
      </c>
      <c r="BB14" s="12">
        <f t="shared" si="65"/>
        <v>18498</v>
      </c>
      <c r="BC14" s="12">
        <f t="shared" si="65"/>
        <v>18503.8</v>
      </c>
      <c r="BD14" s="12">
        <f t="shared" si="65"/>
        <v>18509.5</v>
      </c>
      <c r="BE14" s="12">
        <f t="shared" si="65"/>
        <v>18515.3</v>
      </c>
      <c r="BF14" s="12">
        <f t="shared" si="65"/>
        <v>18521.099999999999</v>
      </c>
      <c r="BG14" s="12">
        <f t="shared" si="65"/>
        <v>18521.099999999999</v>
      </c>
      <c r="BH14" s="12">
        <f t="shared" si="65"/>
        <v>18521.099999999999</v>
      </c>
      <c r="BI14" s="12">
        <f t="shared" si="65"/>
        <v>18526.899999999998</v>
      </c>
      <c r="BJ14" s="12">
        <f t="shared" si="65"/>
        <v>18532.699999999997</v>
      </c>
      <c r="BK14" s="12">
        <f t="shared" si="65"/>
        <v>18538.400000000001</v>
      </c>
      <c r="BL14" s="12">
        <f t="shared" si="65"/>
        <v>0</v>
      </c>
      <c r="BM14" s="12">
        <f t="shared" si="65"/>
        <v>3951.6</v>
      </c>
    </row>
    <row r="15" spans="1:70" x14ac:dyDescent="0.25">
      <c r="A15" s="11">
        <v>300</v>
      </c>
      <c r="B15" s="12">
        <f t="shared" si="63"/>
        <v>661.7</v>
      </c>
      <c r="C15" s="12">
        <f t="shared" si="63"/>
        <v>661.7</v>
      </c>
      <c r="D15" s="12">
        <f t="shared" si="63"/>
        <v>664.6</v>
      </c>
      <c r="E15" s="12">
        <f t="shared" si="63"/>
        <v>664.6</v>
      </c>
      <c r="F15" s="12">
        <f t="shared" si="63"/>
        <v>664.7</v>
      </c>
      <c r="G15" s="12">
        <f t="shared" si="63"/>
        <v>664.7</v>
      </c>
      <c r="H15" s="12">
        <f t="shared" si="63"/>
        <v>664.80000000000007</v>
      </c>
      <c r="I15" s="12">
        <f t="shared" si="63"/>
        <v>664.80000000000007</v>
      </c>
      <c r="J15" s="12">
        <f t="shared" si="63"/>
        <v>664.80000000000007</v>
      </c>
      <c r="K15" s="12">
        <f t="shared" si="63"/>
        <v>664.80000000000007</v>
      </c>
      <c r="L15" s="12">
        <f t="shared" si="63"/>
        <v>664.9</v>
      </c>
      <c r="M15" s="12">
        <f t="shared" si="63"/>
        <v>664.9</v>
      </c>
      <c r="N15" s="12">
        <f t="shared" si="63"/>
        <v>665</v>
      </c>
      <c r="O15" s="12">
        <f t="shared" si="63"/>
        <v>665</v>
      </c>
      <c r="P15" s="12">
        <f t="shared" si="63"/>
        <v>665.1</v>
      </c>
      <c r="Q15" s="12">
        <f t="shared" si="63"/>
        <v>665.1</v>
      </c>
      <c r="R15" s="12">
        <f t="shared" si="63"/>
        <v>665.1</v>
      </c>
      <c r="S15" s="12">
        <f t="shared" si="63"/>
        <v>665.1</v>
      </c>
      <c r="T15" s="12">
        <f t="shared" si="63"/>
        <v>665.2</v>
      </c>
      <c r="U15" s="12">
        <f t="shared" si="63"/>
        <v>665.2</v>
      </c>
      <c r="V15" s="12">
        <f t="shared" si="63"/>
        <v>665.30000000000007</v>
      </c>
      <c r="W15" s="12">
        <f t="shared" si="63"/>
        <v>665.30000000000007</v>
      </c>
      <c r="X15" s="12">
        <f t="shared" si="63"/>
        <v>665.30000000000007</v>
      </c>
      <c r="Y15" s="12">
        <f t="shared" si="63"/>
        <v>665.30000000000007</v>
      </c>
      <c r="Z15" s="12">
        <f t="shared" si="63"/>
        <v>665.4</v>
      </c>
      <c r="AA15" s="12">
        <f t="shared" si="63"/>
        <v>665.4</v>
      </c>
      <c r="AB15" s="12">
        <f t="shared" si="63"/>
        <v>665.5</v>
      </c>
      <c r="AC15" s="12">
        <f t="shared" si="63"/>
        <v>665.5</v>
      </c>
      <c r="AD15" s="12">
        <f t="shared" si="63"/>
        <v>665.6</v>
      </c>
      <c r="AE15" s="12">
        <f t="shared" si="63"/>
        <v>665.6</v>
      </c>
      <c r="AF15" s="12">
        <f t="shared" si="63"/>
        <v>665.6</v>
      </c>
      <c r="AG15" s="12">
        <f t="shared" ref="AG15:BM15" si="66">ROUNDUP(AG6,1)</f>
        <v>665.6</v>
      </c>
      <c r="AH15" s="12">
        <f t="shared" si="66"/>
        <v>665.7</v>
      </c>
      <c r="AI15" s="12">
        <f t="shared" si="66"/>
        <v>665.80000000000007</v>
      </c>
      <c r="AJ15" s="12">
        <f t="shared" si="66"/>
        <v>665.80000000000007</v>
      </c>
      <c r="AK15" s="12">
        <f t="shared" si="66"/>
        <v>665.9</v>
      </c>
      <c r="AL15" s="12">
        <f t="shared" si="66"/>
        <v>665.9</v>
      </c>
      <c r="AM15" s="12">
        <f t="shared" si="66"/>
        <v>665.9</v>
      </c>
      <c r="AN15" s="12">
        <f t="shared" si="66"/>
        <v>665.9</v>
      </c>
      <c r="AO15" s="12">
        <f t="shared" si="66"/>
        <v>666</v>
      </c>
      <c r="AP15" s="12">
        <f t="shared" si="66"/>
        <v>666</v>
      </c>
      <c r="AQ15" s="12">
        <f t="shared" si="66"/>
        <v>666.1</v>
      </c>
      <c r="AR15" s="12">
        <f t="shared" si="66"/>
        <v>666.1</v>
      </c>
      <c r="AS15" s="12">
        <f t="shared" si="66"/>
        <v>666.1</v>
      </c>
      <c r="AT15" s="12">
        <f t="shared" si="66"/>
        <v>666.1</v>
      </c>
      <c r="AU15" s="12">
        <f t="shared" si="66"/>
        <v>666.2</v>
      </c>
      <c r="AV15" s="12">
        <f t="shared" si="66"/>
        <v>666.2</v>
      </c>
      <c r="AW15" s="12">
        <f t="shared" si="66"/>
        <v>666.30000000000007</v>
      </c>
      <c r="AX15" s="12">
        <f t="shared" si="66"/>
        <v>666.30000000000007</v>
      </c>
      <c r="AY15" s="12">
        <f t="shared" si="66"/>
        <v>666.4</v>
      </c>
      <c r="AZ15" s="12">
        <f t="shared" si="66"/>
        <v>666.4</v>
      </c>
      <c r="BA15" s="12">
        <f t="shared" si="66"/>
        <v>666.4</v>
      </c>
      <c r="BB15" s="12">
        <f t="shared" si="66"/>
        <v>666.4</v>
      </c>
      <c r="BC15" s="12">
        <f t="shared" si="66"/>
        <v>666.5</v>
      </c>
      <c r="BD15" s="12">
        <f t="shared" si="66"/>
        <v>666.6</v>
      </c>
      <c r="BE15" s="12">
        <f t="shared" si="66"/>
        <v>666.6</v>
      </c>
      <c r="BF15" s="12">
        <f t="shared" si="66"/>
        <v>666.7</v>
      </c>
      <c r="BG15" s="12">
        <f t="shared" si="66"/>
        <v>666.7</v>
      </c>
      <c r="BH15" s="12">
        <f t="shared" si="66"/>
        <v>666.7</v>
      </c>
      <c r="BI15" s="12">
        <f t="shared" si="66"/>
        <v>666.7</v>
      </c>
      <c r="BJ15" s="12">
        <f t="shared" si="66"/>
        <v>666.80000000000007</v>
      </c>
      <c r="BK15" s="12">
        <f t="shared" si="66"/>
        <v>666.80000000000007</v>
      </c>
      <c r="BL15" s="12">
        <f t="shared" si="66"/>
        <v>0</v>
      </c>
      <c r="BM15" s="12">
        <f t="shared" si="66"/>
        <v>668.30000000000007</v>
      </c>
    </row>
    <row r="16" spans="1:70" x14ac:dyDescent="0.25">
      <c r="A16" s="11">
        <v>120</v>
      </c>
      <c r="B16" s="12">
        <f t="shared" si="63"/>
        <v>24843.399999999998</v>
      </c>
      <c r="C16" s="12">
        <f t="shared" si="63"/>
        <v>24843.399999999998</v>
      </c>
      <c r="D16" s="12">
        <f t="shared" si="63"/>
        <v>25274.199999999997</v>
      </c>
      <c r="E16" s="12">
        <f t="shared" si="63"/>
        <v>25283.599999999999</v>
      </c>
      <c r="F16" s="12">
        <f t="shared" si="63"/>
        <v>25293.1</v>
      </c>
      <c r="G16" s="12">
        <f t="shared" si="63"/>
        <v>25302.5</v>
      </c>
      <c r="H16" s="12">
        <f t="shared" si="63"/>
        <v>25311.899999999998</v>
      </c>
      <c r="I16" s="12">
        <f t="shared" si="63"/>
        <v>25321.3</v>
      </c>
      <c r="J16" s="12">
        <f t="shared" si="63"/>
        <v>25321.3</v>
      </c>
      <c r="K16" s="12">
        <f t="shared" si="63"/>
        <v>25321.3</v>
      </c>
      <c r="L16" s="12">
        <f t="shared" si="63"/>
        <v>25330.699999999997</v>
      </c>
      <c r="M16" s="12">
        <f t="shared" si="63"/>
        <v>25330.699999999997</v>
      </c>
      <c r="N16" s="12">
        <f t="shared" si="63"/>
        <v>25340.1</v>
      </c>
      <c r="O16" s="12">
        <f t="shared" si="63"/>
        <v>25349.5</v>
      </c>
      <c r="P16" s="12">
        <f t="shared" si="63"/>
        <v>25359</v>
      </c>
      <c r="Q16" s="12">
        <f t="shared" si="63"/>
        <v>25359</v>
      </c>
      <c r="R16" s="12">
        <f t="shared" si="63"/>
        <v>25359</v>
      </c>
      <c r="S16" s="12">
        <f t="shared" si="63"/>
        <v>25368.399999999998</v>
      </c>
      <c r="T16" s="12">
        <f t="shared" si="63"/>
        <v>25377.8</v>
      </c>
      <c r="U16" s="12">
        <f t="shared" si="63"/>
        <v>25387.199999999997</v>
      </c>
      <c r="V16" s="12">
        <f t="shared" si="63"/>
        <v>25396.6</v>
      </c>
      <c r="W16" s="12">
        <f t="shared" si="63"/>
        <v>25406</v>
      </c>
      <c r="X16" s="12">
        <f t="shared" si="63"/>
        <v>25406</v>
      </c>
      <c r="Y16" s="12">
        <f t="shared" si="63"/>
        <v>25406</v>
      </c>
      <c r="Z16" s="12">
        <f t="shared" si="63"/>
        <v>25415.5</v>
      </c>
      <c r="AA16" s="12">
        <f t="shared" si="63"/>
        <v>25424.899999999998</v>
      </c>
      <c r="AB16" s="12">
        <f t="shared" si="63"/>
        <v>25434.3</v>
      </c>
      <c r="AC16" s="12">
        <f t="shared" si="63"/>
        <v>25443.699999999997</v>
      </c>
      <c r="AD16" s="12">
        <f t="shared" si="63"/>
        <v>25453.1</v>
      </c>
      <c r="AE16" s="12">
        <f t="shared" si="63"/>
        <v>25453.1</v>
      </c>
      <c r="AF16" s="12">
        <f t="shared" si="63"/>
        <v>25453.1</v>
      </c>
      <c r="AG16" s="12">
        <f t="shared" ref="AG16:BM16" si="67">ROUNDUP(AG7,1)</f>
        <v>25462.5</v>
      </c>
      <c r="AH16" s="12">
        <f t="shared" si="67"/>
        <v>25472</v>
      </c>
      <c r="AI16" s="12">
        <f t="shared" si="67"/>
        <v>25481.399999999998</v>
      </c>
      <c r="AJ16" s="12">
        <f t="shared" si="67"/>
        <v>25490.799999999999</v>
      </c>
      <c r="AK16" s="12">
        <f t="shared" si="67"/>
        <v>25500.199999999997</v>
      </c>
      <c r="AL16" s="12">
        <f t="shared" si="67"/>
        <v>25500.199999999997</v>
      </c>
      <c r="AM16" s="12">
        <f t="shared" si="67"/>
        <v>25500.199999999997</v>
      </c>
      <c r="AN16" s="12">
        <f t="shared" si="67"/>
        <v>25509.599999999999</v>
      </c>
      <c r="AO16" s="12">
        <f t="shared" si="67"/>
        <v>25519</v>
      </c>
      <c r="AP16" s="12">
        <f t="shared" si="67"/>
        <v>25528.5</v>
      </c>
      <c r="AQ16" s="12">
        <f t="shared" si="67"/>
        <v>25537.899999999998</v>
      </c>
      <c r="AR16" s="12">
        <f t="shared" si="67"/>
        <v>25547.3</v>
      </c>
      <c r="AS16" s="12">
        <f t="shared" si="67"/>
        <v>25547.3</v>
      </c>
      <c r="AT16" s="12">
        <f t="shared" si="67"/>
        <v>25547.3</v>
      </c>
      <c r="AU16" s="12">
        <f t="shared" si="67"/>
        <v>25556.699999999997</v>
      </c>
      <c r="AV16" s="12">
        <f t="shared" si="67"/>
        <v>25566.1</v>
      </c>
      <c r="AW16" s="12">
        <f t="shared" si="67"/>
        <v>25575.5</v>
      </c>
      <c r="AX16" s="12">
        <f t="shared" si="67"/>
        <v>25584.899999999998</v>
      </c>
      <c r="AY16" s="12">
        <f t="shared" si="67"/>
        <v>25594.399999999998</v>
      </c>
      <c r="AZ16" s="12">
        <f t="shared" si="67"/>
        <v>25594.399999999998</v>
      </c>
      <c r="BA16" s="12">
        <f t="shared" si="67"/>
        <v>25594.399999999998</v>
      </c>
      <c r="BB16" s="12">
        <f t="shared" si="67"/>
        <v>25603.8</v>
      </c>
      <c r="BC16" s="12">
        <f t="shared" si="67"/>
        <v>25613.199999999997</v>
      </c>
      <c r="BD16" s="12">
        <f t="shared" si="67"/>
        <v>25622.6</v>
      </c>
      <c r="BE16" s="12">
        <f t="shared" si="67"/>
        <v>25632</v>
      </c>
      <c r="BF16" s="12">
        <f t="shared" si="67"/>
        <v>25641.399999999998</v>
      </c>
      <c r="BG16" s="12">
        <f t="shared" si="67"/>
        <v>25641.399999999998</v>
      </c>
      <c r="BH16" s="12">
        <f t="shared" si="67"/>
        <v>25641.399999999998</v>
      </c>
      <c r="BI16" s="12">
        <f t="shared" si="67"/>
        <v>25650.899999999998</v>
      </c>
      <c r="BJ16" s="12">
        <f t="shared" si="67"/>
        <v>25660.3</v>
      </c>
      <c r="BK16" s="12">
        <f t="shared" si="67"/>
        <v>25669.699999999997</v>
      </c>
      <c r="BL16" s="12">
        <f t="shared" si="67"/>
        <v>0</v>
      </c>
      <c r="BM16" s="12">
        <f t="shared" si="67"/>
        <v>25970</v>
      </c>
    </row>
    <row r="17" spans="1:65" x14ac:dyDescent="0.25">
      <c r="A17" s="11">
        <v>50</v>
      </c>
      <c r="B17" s="12">
        <f t="shared" si="63"/>
        <v>3922</v>
      </c>
      <c r="C17" s="12">
        <f t="shared" si="63"/>
        <v>3922</v>
      </c>
      <c r="D17" s="12">
        <f t="shared" si="63"/>
        <v>3928.5</v>
      </c>
      <c r="E17" s="12">
        <f t="shared" si="63"/>
        <v>3928.7999999999997</v>
      </c>
      <c r="F17" s="12">
        <f t="shared" si="63"/>
        <v>3929.1</v>
      </c>
      <c r="G17" s="12">
        <f t="shared" si="63"/>
        <v>3929.2999999999997</v>
      </c>
      <c r="H17" s="12">
        <f t="shared" si="63"/>
        <v>3929.6</v>
      </c>
      <c r="I17" s="12">
        <f t="shared" si="63"/>
        <v>3929.9</v>
      </c>
      <c r="J17" s="12">
        <f t="shared" si="63"/>
        <v>3929.9</v>
      </c>
      <c r="K17" s="12">
        <f t="shared" si="63"/>
        <v>3929.9</v>
      </c>
      <c r="L17" s="12">
        <f t="shared" si="63"/>
        <v>3930.1</v>
      </c>
      <c r="M17" s="12">
        <f t="shared" si="63"/>
        <v>3930.1</v>
      </c>
      <c r="N17" s="12">
        <f t="shared" si="63"/>
        <v>3930.4</v>
      </c>
      <c r="O17" s="12">
        <f t="shared" si="63"/>
        <v>3930.6</v>
      </c>
      <c r="P17" s="12">
        <f t="shared" si="63"/>
        <v>3930.9</v>
      </c>
      <c r="Q17" s="12">
        <f t="shared" si="63"/>
        <v>3930.9</v>
      </c>
      <c r="R17" s="12">
        <f t="shared" si="63"/>
        <v>3930.9</v>
      </c>
      <c r="S17" s="12">
        <f t="shared" si="63"/>
        <v>3931.2</v>
      </c>
      <c r="T17" s="12">
        <f t="shared" si="63"/>
        <v>3931.4</v>
      </c>
      <c r="U17" s="12">
        <f t="shared" si="63"/>
        <v>3931.7</v>
      </c>
      <c r="V17" s="12">
        <f t="shared" si="63"/>
        <v>3932</v>
      </c>
      <c r="W17" s="12">
        <f t="shared" si="63"/>
        <v>3932.2</v>
      </c>
      <c r="X17" s="12">
        <f t="shared" si="63"/>
        <v>3932.2</v>
      </c>
      <c r="Y17" s="12">
        <f t="shared" si="63"/>
        <v>3932.2</v>
      </c>
      <c r="Z17" s="12">
        <f t="shared" si="63"/>
        <v>3932.5</v>
      </c>
      <c r="AA17" s="12">
        <f t="shared" si="63"/>
        <v>3932.7</v>
      </c>
      <c r="AB17" s="12">
        <f t="shared" si="63"/>
        <v>3933</v>
      </c>
      <c r="AC17" s="12">
        <f t="shared" si="63"/>
        <v>3933.2999999999997</v>
      </c>
      <c r="AD17" s="12">
        <f t="shared" si="63"/>
        <v>3933.5</v>
      </c>
      <c r="AE17" s="12">
        <f t="shared" si="63"/>
        <v>3933.5</v>
      </c>
      <c r="AF17" s="12">
        <f t="shared" si="63"/>
        <v>3933.5</v>
      </c>
      <c r="AG17" s="12">
        <f t="shared" ref="AG17:BM17" si="68">ROUNDUP(AG8,1)</f>
        <v>3933.7999999999997</v>
      </c>
      <c r="AH17" s="12">
        <f t="shared" si="68"/>
        <v>3934</v>
      </c>
      <c r="AI17" s="12">
        <f t="shared" si="68"/>
        <v>3934.2999999999997</v>
      </c>
      <c r="AJ17" s="12">
        <f t="shared" si="68"/>
        <v>3934.6</v>
      </c>
      <c r="AK17" s="12">
        <f t="shared" si="68"/>
        <v>3934.7999999999997</v>
      </c>
      <c r="AL17" s="12">
        <f t="shared" si="68"/>
        <v>3934.7999999999997</v>
      </c>
      <c r="AM17" s="12">
        <f t="shared" si="68"/>
        <v>3934.7999999999997</v>
      </c>
      <c r="AN17" s="12">
        <f t="shared" si="68"/>
        <v>3935.1</v>
      </c>
      <c r="AO17" s="12">
        <f t="shared" si="68"/>
        <v>3935.4</v>
      </c>
      <c r="AP17" s="12">
        <f t="shared" si="68"/>
        <v>3935.6</v>
      </c>
      <c r="AQ17" s="12">
        <f t="shared" si="68"/>
        <v>3935.9</v>
      </c>
      <c r="AR17" s="12">
        <f t="shared" si="68"/>
        <v>3936.1</v>
      </c>
      <c r="AS17" s="12">
        <f t="shared" si="68"/>
        <v>3936.1</v>
      </c>
      <c r="AT17" s="12">
        <f t="shared" si="68"/>
        <v>3936.1</v>
      </c>
      <c r="AU17" s="12">
        <f t="shared" si="68"/>
        <v>3936.4</v>
      </c>
      <c r="AV17" s="12">
        <f t="shared" si="68"/>
        <v>3936.7</v>
      </c>
      <c r="AW17" s="12">
        <f t="shared" si="68"/>
        <v>3936.9</v>
      </c>
      <c r="AX17" s="12">
        <f t="shared" si="68"/>
        <v>3937.2</v>
      </c>
      <c r="AY17" s="12">
        <f t="shared" si="68"/>
        <v>3937.5</v>
      </c>
      <c r="AZ17" s="12">
        <f t="shared" si="68"/>
        <v>3937.5</v>
      </c>
      <c r="BA17" s="12">
        <f t="shared" si="68"/>
        <v>3937.5</v>
      </c>
      <c r="BB17" s="12">
        <f t="shared" si="68"/>
        <v>3937.7</v>
      </c>
      <c r="BC17" s="12">
        <f t="shared" si="68"/>
        <v>3938</v>
      </c>
      <c r="BD17" s="12">
        <f t="shared" si="68"/>
        <v>3938.2</v>
      </c>
      <c r="BE17" s="12">
        <f t="shared" si="68"/>
        <v>3938.5</v>
      </c>
      <c r="BF17" s="12">
        <f t="shared" si="68"/>
        <v>3938.7999999999997</v>
      </c>
      <c r="BG17" s="12">
        <f t="shared" si="68"/>
        <v>3938.7999999999997</v>
      </c>
      <c r="BH17" s="12">
        <f t="shared" si="68"/>
        <v>3938.7999999999997</v>
      </c>
      <c r="BI17" s="12">
        <f t="shared" si="68"/>
        <v>3939</v>
      </c>
      <c r="BJ17" s="12">
        <f t="shared" si="68"/>
        <v>3939.2999999999997</v>
      </c>
      <c r="BK17" s="12">
        <f t="shared" si="68"/>
        <v>3939.5</v>
      </c>
      <c r="BL17" s="12">
        <f t="shared" si="68"/>
        <v>0</v>
      </c>
      <c r="BM17" s="12">
        <f t="shared" si="68"/>
        <v>3951.6</v>
      </c>
    </row>
    <row r="18" spans="1:65" x14ac:dyDescent="0.25">
      <c r="A18" s="11">
        <v>250</v>
      </c>
      <c r="B18" s="12">
        <f t="shared" si="63"/>
        <v>10808.800000000001</v>
      </c>
      <c r="C18" s="12">
        <f t="shared" si="63"/>
        <v>10808.800000000001</v>
      </c>
      <c r="D18" s="12">
        <f t="shared" si="63"/>
        <v>10997.1</v>
      </c>
      <c r="E18" s="12">
        <f t="shared" si="63"/>
        <v>11001.5</v>
      </c>
      <c r="F18" s="12">
        <f t="shared" si="63"/>
        <v>11006</v>
      </c>
      <c r="G18" s="12">
        <f t="shared" si="63"/>
        <v>11010.5</v>
      </c>
      <c r="H18" s="12">
        <f t="shared" si="63"/>
        <v>11015</v>
      </c>
      <c r="I18" s="12">
        <f t="shared" si="63"/>
        <v>11019.4</v>
      </c>
      <c r="J18" s="12">
        <f t="shared" si="63"/>
        <v>11019.4</v>
      </c>
      <c r="K18" s="12">
        <f t="shared" si="63"/>
        <v>11019.4</v>
      </c>
      <c r="L18" s="12">
        <f t="shared" si="63"/>
        <v>11023.9</v>
      </c>
      <c r="M18" s="12">
        <f t="shared" si="63"/>
        <v>11023.9</v>
      </c>
      <c r="N18" s="12">
        <f t="shared" si="63"/>
        <v>11028.4</v>
      </c>
      <c r="O18" s="12">
        <f t="shared" si="63"/>
        <v>11032.800000000001</v>
      </c>
      <c r="P18" s="12">
        <f t="shared" si="63"/>
        <v>11037.300000000001</v>
      </c>
      <c r="Q18" s="12">
        <f t="shared" si="63"/>
        <v>11037.300000000001</v>
      </c>
      <c r="R18" s="12">
        <f t="shared" si="63"/>
        <v>11037.300000000001</v>
      </c>
      <c r="S18" s="12">
        <f t="shared" si="63"/>
        <v>11041.800000000001</v>
      </c>
      <c r="T18" s="12">
        <f t="shared" si="63"/>
        <v>11046.2</v>
      </c>
      <c r="U18" s="12">
        <f t="shared" si="63"/>
        <v>11050.7</v>
      </c>
      <c r="V18" s="12">
        <f t="shared" si="63"/>
        <v>11055.2</v>
      </c>
      <c r="W18" s="12">
        <f t="shared" si="63"/>
        <v>11059.6</v>
      </c>
      <c r="X18" s="12">
        <f t="shared" si="63"/>
        <v>11059.6</v>
      </c>
      <c r="Y18" s="12">
        <f t="shared" si="63"/>
        <v>11059.6</v>
      </c>
      <c r="Z18" s="12">
        <f t="shared" si="63"/>
        <v>11064.1</v>
      </c>
      <c r="AA18" s="12">
        <f t="shared" si="63"/>
        <v>11068.6</v>
      </c>
      <c r="AB18" s="12">
        <f t="shared" si="63"/>
        <v>11073.1</v>
      </c>
      <c r="AC18" s="12">
        <f t="shared" si="63"/>
        <v>11077.5</v>
      </c>
      <c r="AD18" s="12">
        <f t="shared" si="63"/>
        <v>11082</v>
      </c>
      <c r="AE18" s="12">
        <f t="shared" si="63"/>
        <v>11082</v>
      </c>
      <c r="AF18" s="12">
        <f t="shared" si="63"/>
        <v>11082</v>
      </c>
      <c r="AG18" s="12">
        <f t="shared" ref="AG18:BM18" si="69">ROUNDUP(AG9,1)</f>
        <v>11086.5</v>
      </c>
      <c r="AH18" s="12">
        <f t="shared" si="69"/>
        <v>11090.9</v>
      </c>
      <c r="AI18" s="12">
        <f t="shared" si="69"/>
        <v>11095.4</v>
      </c>
      <c r="AJ18" s="12">
        <f t="shared" si="69"/>
        <v>11099.9</v>
      </c>
      <c r="AK18" s="12">
        <f t="shared" si="69"/>
        <v>11104.300000000001</v>
      </c>
      <c r="AL18" s="12">
        <f t="shared" si="69"/>
        <v>11104.300000000001</v>
      </c>
      <c r="AM18" s="12">
        <f t="shared" si="69"/>
        <v>11104.300000000001</v>
      </c>
      <c r="AN18" s="12">
        <f t="shared" si="69"/>
        <v>11108.800000000001</v>
      </c>
      <c r="AO18" s="12">
        <f t="shared" si="69"/>
        <v>11113.300000000001</v>
      </c>
      <c r="AP18" s="12">
        <f t="shared" si="69"/>
        <v>11117.800000000001</v>
      </c>
      <c r="AQ18" s="12">
        <f t="shared" si="69"/>
        <v>11122.2</v>
      </c>
      <c r="AR18" s="12">
        <f t="shared" si="69"/>
        <v>11126.7</v>
      </c>
      <c r="AS18" s="12">
        <f t="shared" si="69"/>
        <v>11126.7</v>
      </c>
      <c r="AT18" s="12">
        <f t="shared" si="69"/>
        <v>11126.7</v>
      </c>
      <c r="AU18" s="12">
        <f t="shared" si="69"/>
        <v>11131.2</v>
      </c>
      <c r="AV18" s="12">
        <f t="shared" si="69"/>
        <v>11135.6</v>
      </c>
      <c r="AW18" s="12">
        <f t="shared" si="69"/>
        <v>11140.1</v>
      </c>
      <c r="AX18" s="12">
        <f t="shared" si="69"/>
        <v>11144.6</v>
      </c>
      <c r="AY18" s="12">
        <f t="shared" si="69"/>
        <v>11149</v>
      </c>
      <c r="AZ18" s="12">
        <f t="shared" si="69"/>
        <v>11149</v>
      </c>
      <c r="BA18" s="12">
        <f t="shared" si="69"/>
        <v>11149</v>
      </c>
      <c r="BB18" s="12">
        <f t="shared" si="69"/>
        <v>11153.5</v>
      </c>
      <c r="BC18" s="12">
        <f t="shared" si="69"/>
        <v>11158</v>
      </c>
      <c r="BD18" s="12">
        <f t="shared" si="69"/>
        <v>11162.4</v>
      </c>
      <c r="BE18" s="12">
        <f t="shared" si="69"/>
        <v>11166.9</v>
      </c>
      <c r="BF18" s="12">
        <f t="shared" si="69"/>
        <v>11171.4</v>
      </c>
      <c r="BG18" s="12">
        <f t="shared" si="69"/>
        <v>11171.4</v>
      </c>
      <c r="BH18" s="12">
        <f t="shared" si="69"/>
        <v>11171.4</v>
      </c>
      <c r="BI18" s="12">
        <f t="shared" si="69"/>
        <v>11175.9</v>
      </c>
      <c r="BJ18" s="12">
        <f t="shared" si="69"/>
        <v>11180.300000000001</v>
      </c>
      <c r="BK18" s="12">
        <f t="shared" si="69"/>
        <v>11184.800000000001</v>
      </c>
      <c r="BL18" s="12">
        <f t="shared" si="69"/>
        <v>0</v>
      </c>
      <c r="BM18" s="12">
        <f t="shared" si="69"/>
        <v>11321.2</v>
      </c>
    </row>
    <row r="19" spans="1:65" x14ac:dyDescent="0.25">
      <c r="A19" s="11" t="s">
        <v>2</v>
      </c>
      <c r="B19" s="12">
        <f t="shared" si="63"/>
        <v>11935.6</v>
      </c>
      <c r="C19" s="12">
        <f t="shared" si="63"/>
        <v>11935.6</v>
      </c>
      <c r="D19" s="12">
        <f t="shared" si="63"/>
        <v>12032.9</v>
      </c>
      <c r="E19" s="12">
        <f t="shared" si="63"/>
        <v>12035.2</v>
      </c>
      <c r="F19" s="12">
        <f t="shared" si="63"/>
        <v>12037.5</v>
      </c>
      <c r="G19" s="12">
        <f t="shared" si="63"/>
        <v>12039.800000000001</v>
      </c>
      <c r="H19" s="12">
        <f t="shared" si="63"/>
        <v>12042.1</v>
      </c>
      <c r="I19" s="12">
        <f t="shared" si="63"/>
        <v>12044.4</v>
      </c>
      <c r="J19" s="12">
        <f t="shared" si="63"/>
        <v>12044.4</v>
      </c>
      <c r="K19" s="12">
        <f t="shared" si="63"/>
        <v>12044.4</v>
      </c>
      <c r="L19" s="12">
        <f t="shared" si="63"/>
        <v>12046.7</v>
      </c>
      <c r="M19" s="12">
        <f t="shared" si="63"/>
        <v>12046.7</v>
      </c>
      <c r="N19" s="12">
        <f t="shared" si="63"/>
        <v>12049</v>
      </c>
      <c r="O19" s="12">
        <f t="shared" si="63"/>
        <v>12051.4</v>
      </c>
      <c r="P19" s="12">
        <f t="shared" si="63"/>
        <v>12053.7</v>
      </c>
      <c r="Q19" s="12">
        <f t="shared" si="63"/>
        <v>12053.7</v>
      </c>
      <c r="R19" s="12">
        <f t="shared" si="63"/>
        <v>12053.7</v>
      </c>
      <c r="S19" s="12">
        <f t="shared" si="63"/>
        <v>12056</v>
      </c>
      <c r="T19" s="12">
        <f t="shared" si="63"/>
        <v>12058.300000000001</v>
      </c>
      <c r="U19" s="12">
        <f t="shared" si="63"/>
        <v>12060.6</v>
      </c>
      <c r="V19" s="12">
        <f t="shared" si="63"/>
        <v>12062.9</v>
      </c>
      <c r="W19" s="12">
        <f t="shared" si="63"/>
        <v>12065.2</v>
      </c>
      <c r="X19" s="12">
        <f t="shared" si="63"/>
        <v>12065.2</v>
      </c>
      <c r="Y19" s="12">
        <f t="shared" si="63"/>
        <v>12065.2</v>
      </c>
      <c r="Z19" s="12">
        <f t="shared" si="63"/>
        <v>12067.5</v>
      </c>
      <c r="AA19" s="12">
        <f t="shared" si="63"/>
        <v>12069.800000000001</v>
      </c>
      <c r="AB19" s="12">
        <f t="shared" si="63"/>
        <v>12072.1</v>
      </c>
      <c r="AC19" s="12">
        <f t="shared" si="63"/>
        <v>12074.4</v>
      </c>
      <c r="AD19" s="12">
        <f t="shared" si="63"/>
        <v>12076.7</v>
      </c>
      <c r="AE19" s="12">
        <f t="shared" si="63"/>
        <v>12076.7</v>
      </c>
      <c r="AF19" s="12">
        <f t="shared" si="63"/>
        <v>12076.7</v>
      </c>
      <c r="AG19" s="12">
        <f t="shared" ref="AG19:BM19" si="70">ROUNDUP(AG10,1)</f>
        <v>12079</v>
      </c>
      <c r="AH19" s="12">
        <f t="shared" si="70"/>
        <v>12081.300000000001</v>
      </c>
      <c r="AI19" s="12">
        <f t="shared" si="70"/>
        <v>12083.6</v>
      </c>
      <c r="AJ19" s="12">
        <f t="shared" si="70"/>
        <v>12085.9</v>
      </c>
      <c r="AK19" s="12">
        <f t="shared" si="70"/>
        <v>12088.300000000001</v>
      </c>
      <c r="AL19" s="12">
        <f t="shared" si="70"/>
        <v>12088.300000000001</v>
      </c>
      <c r="AM19" s="12">
        <f t="shared" si="70"/>
        <v>12088.300000000001</v>
      </c>
      <c r="AN19" s="12">
        <f t="shared" si="70"/>
        <v>12090.6</v>
      </c>
      <c r="AO19" s="12">
        <f t="shared" si="70"/>
        <v>12092.9</v>
      </c>
      <c r="AP19" s="12">
        <f t="shared" si="70"/>
        <v>12095.2</v>
      </c>
      <c r="AQ19" s="12">
        <f t="shared" si="70"/>
        <v>12097.5</v>
      </c>
      <c r="AR19" s="12">
        <f t="shared" si="70"/>
        <v>12099.800000000001</v>
      </c>
      <c r="AS19" s="12">
        <f t="shared" si="70"/>
        <v>12099.800000000001</v>
      </c>
      <c r="AT19" s="12">
        <f t="shared" si="70"/>
        <v>12099.800000000001</v>
      </c>
      <c r="AU19" s="12">
        <f t="shared" si="70"/>
        <v>12102.1</v>
      </c>
      <c r="AV19" s="12">
        <f t="shared" si="70"/>
        <v>12104.4</v>
      </c>
      <c r="AW19" s="12">
        <f t="shared" si="70"/>
        <v>12106.7</v>
      </c>
      <c r="AX19" s="12">
        <f t="shared" si="70"/>
        <v>12109</v>
      </c>
      <c r="AY19" s="12">
        <f t="shared" si="70"/>
        <v>12111.300000000001</v>
      </c>
      <c r="AZ19" s="12">
        <f t="shared" si="70"/>
        <v>12111.300000000001</v>
      </c>
      <c r="BA19" s="12">
        <f t="shared" si="70"/>
        <v>12111.300000000001</v>
      </c>
      <c r="BB19" s="12">
        <f t="shared" si="70"/>
        <v>12113.6</v>
      </c>
      <c r="BC19" s="12">
        <f t="shared" si="70"/>
        <v>12115.9</v>
      </c>
      <c r="BD19" s="12">
        <f t="shared" si="70"/>
        <v>12118.2</v>
      </c>
      <c r="BE19" s="12">
        <f t="shared" si="70"/>
        <v>12120.5</v>
      </c>
      <c r="BF19" s="12">
        <f t="shared" si="70"/>
        <v>12122.9</v>
      </c>
      <c r="BG19" s="12">
        <f t="shared" si="70"/>
        <v>12122.9</v>
      </c>
      <c r="BH19" s="12">
        <f t="shared" si="70"/>
        <v>12122.9</v>
      </c>
      <c r="BI19" s="12">
        <f t="shared" si="70"/>
        <v>12125.2</v>
      </c>
      <c r="BJ19" s="12">
        <f t="shared" si="70"/>
        <v>12127.5</v>
      </c>
      <c r="BK19" s="12">
        <f t="shared" si="70"/>
        <v>12129.800000000001</v>
      </c>
      <c r="BL19" s="12">
        <f t="shared" si="70"/>
        <v>0</v>
      </c>
      <c r="BM19" s="12">
        <f t="shared" si="70"/>
        <v>12199.4</v>
      </c>
    </row>
    <row r="20" spans="1:65" x14ac:dyDescent="0.25">
      <c r="A20" s="11" t="s">
        <v>3</v>
      </c>
      <c r="B20" s="12">
        <f t="shared" si="63"/>
        <v>15839.2</v>
      </c>
      <c r="C20" s="12">
        <f t="shared" si="63"/>
        <v>15839.2</v>
      </c>
      <c r="D20" s="12">
        <f t="shared" si="63"/>
        <v>15871.1</v>
      </c>
      <c r="E20" s="12">
        <f t="shared" si="63"/>
        <v>15872.2</v>
      </c>
      <c r="F20" s="12">
        <f t="shared" si="63"/>
        <v>15873.300000000001</v>
      </c>
      <c r="G20" s="12">
        <f t="shared" si="63"/>
        <v>15874.4</v>
      </c>
      <c r="H20" s="12">
        <f t="shared" si="63"/>
        <v>15875.5</v>
      </c>
      <c r="I20" s="12">
        <f t="shared" si="63"/>
        <v>15876.6</v>
      </c>
      <c r="J20" s="12">
        <f t="shared" si="63"/>
        <v>15876.6</v>
      </c>
      <c r="K20" s="12">
        <f t="shared" si="63"/>
        <v>15876.6</v>
      </c>
      <c r="L20" s="12">
        <f t="shared" si="63"/>
        <v>15877.7</v>
      </c>
      <c r="M20" s="12">
        <f t="shared" si="63"/>
        <v>15877.7</v>
      </c>
      <c r="N20" s="12">
        <f t="shared" si="63"/>
        <v>15878.800000000001</v>
      </c>
      <c r="O20" s="12">
        <f t="shared" si="63"/>
        <v>15879.9</v>
      </c>
      <c r="P20" s="12">
        <f t="shared" si="63"/>
        <v>15881</v>
      </c>
      <c r="Q20" s="12">
        <f t="shared" si="63"/>
        <v>15881</v>
      </c>
      <c r="R20" s="12">
        <f t="shared" si="63"/>
        <v>15881</v>
      </c>
      <c r="S20" s="12">
        <f t="shared" si="63"/>
        <v>15882.1</v>
      </c>
      <c r="T20" s="12">
        <f t="shared" si="63"/>
        <v>15883.2</v>
      </c>
      <c r="U20" s="12">
        <f t="shared" si="63"/>
        <v>15884.300000000001</v>
      </c>
      <c r="V20" s="12">
        <f t="shared" si="63"/>
        <v>15885.4</v>
      </c>
      <c r="W20" s="12">
        <f t="shared" si="63"/>
        <v>15886.5</v>
      </c>
      <c r="X20" s="12">
        <f t="shared" si="63"/>
        <v>15886.5</v>
      </c>
      <c r="Y20" s="12">
        <f t="shared" si="63"/>
        <v>15886.5</v>
      </c>
      <c r="Z20" s="12">
        <f t="shared" si="63"/>
        <v>15887.6</v>
      </c>
      <c r="AA20" s="12">
        <f t="shared" si="63"/>
        <v>15888.7</v>
      </c>
      <c r="AB20" s="12">
        <f t="shared" si="63"/>
        <v>15889.800000000001</v>
      </c>
      <c r="AC20" s="12">
        <f t="shared" si="63"/>
        <v>15890.9</v>
      </c>
      <c r="AD20" s="12">
        <f t="shared" si="63"/>
        <v>15892</v>
      </c>
      <c r="AE20" s="12">
        <f t="shared" si="63"/>
        <v>15892</v>
      </c>
      <c r="AF20" s="12">
        <f t="shared" si="63"/>
        <v>15892</v>
      </c>
      <c r="AG20" s="12">
        <f t="shared" ref="AG20:BM20" si="71">ROUNDUP(AG11,1)</f>
        <v>15893.1</v>
      </c>
      <c r="AH20" s="12">
        <f t="shared" si="71"/>
        <v>15894.1</v>
      </c>
      <c r="AI20" s="12">
        <f t="shared" si="71"/>
        <v>15895.2</v>
      </c>
      <c r="AJ20" s="12">
        <f t="shared" si="71"/>
        <v>15896.300000000001</v>
      </c>
      <c r="AK20" s="12">
        <f t="shared" si="71"/>
        <v>15897.4</v>
      </c>
      <c r="AL20" s="12">
        <f t="shared" si="71"/>
        <v>15897.4</v>
      </c>
      <c r="AM20" s="12">
        <f t="shared" si="71"/>
        <v>15897.4</v>
      </c>
      <c r="AN20" s="12">
        <f t="shared" si="71"/>
        <v>15898.5</v>
      </c>
      <c r="AO20" s="12">
        <f t="shared" si="71"/>
        <v>15899.6</v>
      </c>
      <c r="AP20" s="12">
        <f t="shared" si="71"/>
        <v>15900.7</v>
      </c>
      <c r="AQ20" s="12">
        <f t="shared" si="71"/>
        <v>15901.800000000001</v>
      </c>
      <c r="AR20" s="12">
        <f t="shared" si="71"/>
        <v>15902.9</v>
      </c>
      <c r="AS20" s="12">
        <f t="shared" si="71"/>
        <v>15902.9</v>
      </c>
      <c r="AT20" s="12">
        <f t="shared" si="71"/>
        <v>15902.9</v>
      </c>
      <c r="AU20" s="12">
        <f t="shared" si="71"/>
        <v>15904</v>
      </c>
      <c r="AV20" s="12">
        <f t="shared" si="71"/>
        <v>15905.1</v>
      </c>
      <c r="AW20" s="12">
        <f t="shared" si="71"/>
        <v>15906.2</v>
      </c>
      <c r="AX20" s="12">
        <f t="shared" si="71"/>
        <v>15907.300000000001</v>
      </c>
      <c r="AY20" s="12">
        <f t="shared" si="71"/>
        <v>15908.4</v>
      </c>
      <c r="AZ20" s="12">
        <f t="shared" si="71"/>
        <v>15908.4</v>
      </c>
      <c r="BA20" s="12">
        <f t="shared" si="71"/>
        <v>15908.4</v>
      </c>
      <c r="BB20" s="12">
        <f t="shared" si="71"/>
        <v>15909.5</v>
      </c>
      <c r="BC20" s="12">
        <f t="shared" si="71"/>
        <v>15910.6</v>
      </c>
      <c r="BD20" s="12">
        <f t="shared" si="71"/>
        <v>15911.7</v>
      </c>
      <c r="BE20" s="12">
        <f t="shared" si="71"/>
        <v>15912.800000000001</v>
      </c>
      <c r="BF20" s="12">
        <f t="shared" si="71"/>
        <v>15913.9</v>
      </c>
      <c r="BG20" s="12">
        <f t="shared" si="71"/>
        <v>15913.9</v>
      </c>
      <c r="BH20" s="12">
        <f t="shared" si="71"/>
        <v>15913.9</v>
      </c>
      <c r="BI20" s="12">
        <f t="shared" si="71"/>
        <v>15915</v>
      </c>
      <c r="BJ20" s="12">
        <f t="shared" si="71"/>
        <v>15916.1</v>
      </c>
      <c r="BK20" s="12">
        <f t="shared" si="71"/>
        <v>15917.1</v>
      </c>
      <c r="BL20" s="12">
        <f t="shared" si="71"/>
        <v>0</v>
      </c>
      <c r="BM20" s="12">
        <f t="shared" si="71"/>
        <v>15947.800000000001</v>
      </c>
    </row>
    <row r="22" spans="1:65" x14ac:dyDescent="0.25">
      <c r="A22" s="11">
        <v>500</v>
      </c>
      <c r="B22" s="1">
        <v>13132.3</v>
      </c>
      <c r="C22" s="1">
        <v>13132.3</v>
      </c>
      <c r="D22" s="1">
        <v>13317.6</v>
      </c>
      <c r="E22" s="1">
        <v>13322.2</v>
      </c>
      <c r="F22" s="1">
        <v>13326.7</v>
      </c>
      <c r="G22" s="1">
        <v>13331.300000000001</v>
      </c>
      <c r="H22" s="1">
        <v>13335.8</v>
      </c>
      <c r="I22" s="1">
        <v>13340.4</v>
      </c>
      <c r="J22" s="1">
        <v>13340.4</v>
      </c>
      <c r="K22" s="1">
        <v>13340.4</v>
      </c>
      <c r="L22" s="1">
        <v>13344.9</v>
      </c>
      <c r="M22" s="1">
        <v>13344.9</v>
      </c>
      <c r="N22" s="1">
        <v>13349.5</v>
      </c>
      <c r="O22" s="1">
        <v>13354</v>
      </c>
      <c r="P22" s="1">
        <v>13358.6</v>
      </c>
      <c r="Q22" s="1">
        <v>13358.6</v>
      </c>
      <c r="R22" s="1">
        <v>13358.6</v>
      </c>
      <c r="S22" s="1">
        <v>13363.1</v>
      </c>
      <c r="T22" s="1">
        <v>13367.7</v>
      </c>
      <c r="U22" s="1">
        <v>13372.2</v>
      </c>
      <c r="V22" s="1">
        <v>13376.800000000001</v>
      </c>
      <c r="W22" s="1">
        <v>13381.3</v>
      </c>
      <c r="X22" s="1">
        <v>13381.3</v>
      </c>
      <c r="Y22" s="1">
        <v>13381.3</v>
      </c>
      <c r="Z22" s="1">
        <v>13385.9</v>
      </c>
      <c r="AA22" s="1">
        <v>13390.4</v>
      </c>
      <c r="AB22" s="1">
        <v>13395</v>
      </c>
      <c r="AC22" s="1">
        <v>13399.5</v>
      </c>
      <c r="AD22" s="1">
        <v>13404.1</v>
      </c>
      <c r="AE22" s="1">
        <v>13404.1</v>
      </c>
      <c r="AF22" s="7">
        <v>13404.1</v>
      </c>
      <c r="AG22" s="1">
        <v>13408.6</v>
      </c>
      <c r="AH22" s="1">
        <v>13413.2</v>
      </c>
      <c r="AI22" s="1">
        <v>13417.7</v>
      </c>
      <c r="AJ22" s="1">
        <v>13349.7214285714</v>
      </c>
      <c r="AK22" s="1">
        <v>13357.328571428599</v>
      </c>
      <c r="AL22" s="1">
        <v>13364.935714285701</v>
      </c>
      <c r="AM22" s="7">
        <v>13372.5428571429</v>
      </c>
      <c r="AN22" s="1">
        <v>13380.15</v>
      </c>
      <c r="AO22" s="1">
        <v>13387.757142857099</v>
      </c>
      <c r="AP22" s="1">
        <v>13395.3642857143</v>
      </c>
      <c r="AQ22" s="1">
        <v>13402.9714285714</v>
      </c>
      <c r="AR22" s="1">
        <v>13410.578571428599</v>
      </c>
      <c r="AS22" s="1">
        <v>13418.185714285701</v>
      </c>
      <c r="AT22" s="7">
        <v>13425.7928571429</v>
      </c>
      <c r="AU22" s="1">
        <v>13433.4</v>
      </c>
      <c r="AV22" s="1">
        <v>13441.007142857099</v>
      </c>
      <c r="AW22" s="1">
        <v>13448.6142857143</v>
      </c>
      <c r="AX22" s="1">
        <v>13456.2214285714</v>
      </c>
      <c r="AY22" s="1">
        <v>13463.828571428599</v>
      </c>
      <c r="AZ22" s="1">
        <v>13471.435714285701</v>
      </c>
      <c r="BA22" s="7">
        <v>13479.0428571429</v>
      </c>
      <c r="BB22" s="1">
        <v>13486.65</v>
      </c>
      <c r="BC22" s="1">
        <v>13494.257142857099</v>
      </c>
      <c r="BD22" s="1">
        <v>13501.8642857143</v>
      </c>
      <c r="BE22" s="1">
        <v>13509.4714285714</v>
      </c>
      <c r="BF22" s="1">
        <v>13517.078571428599</v>
      </c>
      <c r="BG22" s="1">
        <v>13524.685714285701</v>
      </c>
      <c r="BH22" s="7">
        <v>13532.2928571429</v>
      </c>
      <c r="BI22" s="1">
        <v>13539.9</v>
      </c>
      <c r="BJ22" s="1">
        <v>13547.507142857099</v>
      </c>
      <c r="BK22" s="1">
        <v>13555.1142857143</v>
      </c>
      <c r="BL22" s="1">
        <v>13562.7214285714</v>
      </c>
      <c r="BM22" s="1">
        <v>13570.328571428599</v>
      </c>
    </row>
    <row r="23" spans="1:65" x14ac:dyDescent="0.25">
      <c r="A23" s="11">
        <v>165</v>
      </c>
      <c r="B23" s="1">
        <v>18087.099999999999</v>
      </c>
      <c r="C23" s="1">
        <v>18087.099999999999</v>
      </c>
      <c r="D23" s="1">
        <v>18295.599999999999</v>
      </c>
      <c r="E23" s="1">
        <v>18301.399999999998</v>
      </c>
      <c r="F23" s="1">
        <v>18307.199999999997</v>
      </c>
      <c r="G23" s="1">
        <v>18313</v>
      </c>
      <c r="H23" s="1">
        <v>18318.8</v>
      </c>
      <c r="I23" s="1">
        <v>18324.599999999999</v>
      </c>
      <c r="J23" s="1">
        <v>18324.599999999999</v>
      </c>
      <c r="K23" s="1">
        <v>18324.599999999999</v>
      </c>
      <c r="L23" s="1">
        <v>18330.3</v>
      </c>
      <c r="M23" s="1">
        <v>18330.3</v>
      </c>
      <c r="N23" s="1">
        <v>18336.099999999999</v>
      </c>
      <c r="O23" s="1">
        <v>18341.899999999998</v>
      </c>
      <c r="P23" s="1">
        <v>18347.699999999997</v>
      </c>
      <c r="Q23" s="1">
        <v>18347.699999999997</v>
      </c>
      <c r="R23" s="1">
        <v>18347.699999999997</v>
      </c>
      <c r="S23" s="1">
        <v>18353.5</v>
      </c>
      <c r="T23" s="1">
        <v>18359.199999999997</v>
      </c>
      <c r="U23" s="1">
        <v>18365</v>
      </c>
      <c r="V23" s="1">
        <v>18370.8</v>
      </c>
      <c r="W23" s="1">
        <v>18376.599999999999</v>
      </c>
      <c r="X23" s="1">
        <v>18376.599999999999</v>
      </c>
      <c r="Y23" s="1">
        <v>18376.599999999999</v>
      </c>
      <c r="Z23" s="1">
        <v>18382.399999999998</v>
      </c>
      <c r="AA23" s="1">
        <v>18388.099999999999</v>
      </c>
      <c r="AB23" s="1">
        <v>18393.899999999998</v>
      </c>
      <c r="AC23" s="1">
        <v>18399.699999999997</v>
      </c>
      <c r="AD23" s="1">
        <v>18405.5</v>
      </c>
      <c r="AE23" s="1">
        <v>18405.5</v>
      </c>
      <c r="AF23" s="7">
        <v>18405.5</v>
      </c>
      <c r="AG23" s="1">
        <v>18411.3</v>
      </c>
      <c r="AH23" s="1">
        <v>18417</v>
      </c>
      <c r="AI23" s="1">
        <v>18422.8</v>
      </c>
      <c r="AJ23" s="1">
        <v>18331.724999999999</v>
      </c>
      <c r="AK23" s="1">
        <v>18340.285714285699</v>
      </c>
      <c r="AL23" s="1">
        <v>18348.8464285714</v>
      </c>
      <c r="AM23" s="7">
        <v>18357.407142857101</v>
      </c>
      <c r="AN23" s="1">
        <v>18365.967857142899</v>
      </c>
      <c r="AO23" s="1">
        <v>18374.5285714286</v>
      </c>
      <c r="AP23" s="1">
        <v>18383.089285714301</v>
      </c>
      <c r="AQ23" s="1">
        <v>18391.650000000001</v>
      </c>
      <c r="AR23" s="1">
        <v>18400.210714285698</v>
      </c>
      <c r="AS23" s="1">
        <v>18408.771428571399</v>
      </c>
      <c r="AT23" s="7">
        <v>18417.3321428571</v>
      </c>
      <c r="AU23" s="1">
        <v>18425.892857142899</v>
      </c>
      <c r="AV23" s="1">
        <v>18434.453571428599</v>
      </c>
      <c r="AW23" s="1">
        <v>18443.0142857143</v>
      </c>
      <c r="AX23" s="1">
        <v>18451.575000000001</v>
      </c>
      <c r="AY23" s="1">
        <v>18460.135714285701</v>
      </c>
      <c r="AZ23" s="1">
        <v>18468.696428571398</v>
      </c>
      <c r="BA23" s="7">
        <v>18477.257142857099</v>
      </c>
      <c r="BB23" s="1">
        <v>18485.8178571428</v>
      </c>
      <c r="BC23" s="1">
        <v>18494.378571428599</v>
      </c>
      <c r="BD23" s="1">
        <v>18502.939285714299</v>
      </c>
      <c r="BE23" s="1">
        <v>18511.5</v>
      </c>
      <c r="BF23" s="1">
        <v>18520.060714285701</v>
      </c>
      <c r="BG23" s="1">
        <v>18528.621428571401</v>
      </c>
      <c r="BH23" s="7">
        <v>18537.182142857098</v>
      </c>
      <c r="BI23" s="1">
        <v>18545.742857142799</v>
      </c>
      <c r="BJ23" s="1">
        <v>18554.303571428602</v>
      </c>
      <c r="BK23" s="1">
        <v>18562.864285714299</v>
      </c>
      <c r="BL23" s="1">
        <v>18571.424999999999</v>
      </c>
      <c r="BM23" s="1">
        <v>18579.9857142857</v>
      </c>
    </row>
    <row r="24" spans="1:65" x14ac:dyDescent="0.25">
      <c r="A24" s="11">
        <v>300</v>
      </c>
      <c r="B24" s="1">
        <v>661.7</v>
      </c>
      <c r="C24" s="1">
        <v>661.7</v>
      </c>
      <c r="D24" s="1">
        <v>664.6</v>
      </c>
      <c r="E24" s="1">
        <v>664.6</v>
      </c>
      <c r="F24" s="1">
        <v>664.7</v>
      </c>
      <c r="G24" s="1">
        <v>664.7</v>
      </c>
      <c r="H24" s="1">
        <v>664.80000000000007</v>
      </c>
      <c r="I24" s="1">
        <v>664.80000000000007</v>
      </c>
      <c r="J24" s="1">
        <v>664.80000000000007</v>
      </c>
      <c r="K24" s="1">
        <v>664.80000000000007</v>
      </c>
      <c r="L24" s="1">
        <v>664.9</v>
      </c>
      <c r="M24" s="1">
        <v>664.9</v>
      </c>
      <c r="N24" s="1">
        <v>665</v>
      </c>
      <c r="O24" s="1">
        <v>665</v>
      </c>
      <c r="P24" s="1">
        <v>665.1</v>
      </c>
      <c r="Q24" s="1">
        <v>665.1</v>
      </c>
      <c r="R24" s="1">
        <v>665.1</v>
      </c>
      <c r="S24" s="1">
        <v>665.1</v>
      </c>
      <c r="T24" s="1">
        <v>665.2</v>
      </c>
      <c r="U24" s="1">
        <v>665.2</v>
      </c>
      <c r="V24" s="1">
        <v>665.30000000000007</v>
      </c>
      <c r="W24" s="1">
        <v>665.30000000000007</v>
      </c>
      <c r="X24" s="1">
        <v>665.30000000000007</v>
      </c>
      <c r="Y24" s="1">
        <v>665.30000000000007</v>
      </c>
      <c r="Z24" s="1">
        <v>665.4</v>
      </c>
      <c r="AA24" s="1">
        <v>665.4</v>
      </c>
      <c r="AB24" s="1">
        <v>665.5</v>
      </c>
      <c r="AC24" s="1">
        <v>665.5</v>
      </c>
      <c r="AD24" s="1">
        <v>665.6</v>
      </c>
      <c r="AE24" s="1">
        <v>665.6</v>
      </c>
      <c r="AF24" s="7">
        <v>665.6</v>
      </c>
      <c r="AG24" s="1">
        <v>665.6</v>
      </c>
      <c r="AH24" s="1">
        <v>665.7</v>
      </c>
      <c r="AI24" s="1">
        <v>665.80000000000007</v>
      </c>
      <c r="AJ24" s="1">
        <v>665.10357142857094</v>
      </c>
      <c r="AK24" s="1">
        <v>665.22857142857094</v>
      </c>
      <c r="AL24" s="1">
        <v>665.35357142857094</v>
      </c>
      <c r="AM24" s="7">
        <v>665.47857142857094</v>
      </c>
      <c r="AN24" s="1">
        <v>665.60357142857094</v>
      </c>
      <c r="AO24" s="1">
        <v>665.72857142857094</v>
      </c>
      <c r="AP24" s="1">
        <v>665.85357142857094</v>
      </c>
      <c r="AQ24" s="1">
        <v>665.97857142857094</v>
      </c>
      <c r="AR24" s="1">
        <v>666.10357142857094</v>
      </c>
      <c r="AS24" s="1">
        <v>666.22857142857094</v>
      </c>
      <c r="AT24" s="7">
        <v>666.35357142857094</v>
      </c>
      <c r="AU24" s="1">
        <v>666.47857142857094</v>
      </c>
      <c r="AV24" s="1">
        <v>666.60357142857094</v>
      </c>
      <c r="AW24" s="1">
        <v>666.72857142857094</v>
      </c>
      <c r="AX24" s="1">
        <v>666.85357142857094</v>
      </c>
      <c r="AY24" s="1">
        <v>666.97857142857094</v>
      </c>
      <c r="AZ24" s="1">
        <v>667.10357142857094</v>
      </c>
      <c r="BA24" s="7">
        <v>667.22857142857094</v>
      </c>
      <c r="BB24" s="1">
        <v>667.35357142857094</v>
      </c>
      <c r="BC24" s="1">
        <v>667.47857142857094</v>
      </c>
      <c r="BD24" s="1">
        <v>667.60357142857094</v>
      </c>
      <c r="BE24" s="1">
        <v>667.72857142857094</v>
      </c>
      <c r="BF24" s="1">
        <v>667.85357142857094</v>
      </c>
      <c r="BG24" s="1">
        <v>667.97857142857094</v>
      </c>
      <c r="BH24" s="7">
        <v>668.10357142857094</v>
      </c>
      <c r="BI24" s="1">
        <v>668.22857142857094</v>
      </c>
      <c r="BJ24" s="1">
        <v>668.35357142857094</v>
      </c>
      <c r="BK24" s="1">
        <v>668.47857142857094</v>
      </c>
      <c r="BL24" s="1">
        <v>668.60357142857094</v>
      </c>
      <c r="BM24" s="1">
        <v>668.72857142857094</v>
      </c>
    </row>
    <row r="25" spans="1:65" x14ac:dyDescent="0.25">
      <c r="A25" s="11">
        <v>120</v>
      </c>
      <c r="B25" s="1">
        <v>24843.399999999998</v>
      </c>
      <c r="C25" s="1">
        <v>24843.399999999998</v>
      </c>
      <c r="D25" s="1">
        <v>25274.199999999997</v>
      </c>
      <c r="E25" s="1">
        <v>25283.599999999999</v>
      </c>
      <c r="F25" s="1">
        <v>25293.1</v>
      </c>
      <c r="G25" s="1">
        <v>25302.5</v>
      </c>
      <c r="H25" s="1">
        <v>25311.899999999998</v>
      </c>
      <c r="I25" s="1">
        <v>25321.3</v>
      </c>
      <c r="J25" s="1">
        <v>25321.3</v>
      </c>
      <c r="K25" s="1">
        <v>25321.3</v>
      </c>
      <c r="L25" s="1">
        <v>25330.699999999997</v>
      </c>
      <c r="M25" s="1">
        <v>25330.699999999997</v>
      </c>
      <c r="N25" s="1">
        <v>25340.1</v>
      </c>
      <c r="O25" s="1">
        <v>25349.5</v>
      </c>
      <c r="P25" s="1">
        <v>25359</v>
      </c>
      <c r="Q25" s="1">
        <v>25359</v>
      </c>
      <c r="R25" s="1">
        <v>25359</v>
      </c>
      <c r="S25" s="1">
        <v>25368.399999999998</v>
      </c>
      <c r="T25" s="1">
        <v>25377.8</v>
      </c>
      <c r="U25" s="1">
        <v>25387.199999999997</v>
      </c>
      <c r="V25" s="1">
        <v>25396.6</v>
      </c>
      <c r="W25" s="1">
        <v>25406</v>
      </c>
      <c r="X25" s="1">
        <v>25406</v>
      </c>
      <c r="Y25" s="1">
        <v>25406</v>
      </c>
      <c r="Z25" s="1">
        <v>25415.5</v>
      </c>
      <c r="AA25" s="1">
        <v>25424.899999999998</v>
      </c>
      <c r="AB25" s="1">
        <v>25434.3</v>
      </c>
      <c r="AC25" s="1">
        <v>25443.699999999997</v>
      </c>
      <c r="AD25" s="1">
        <v>25453.1</v>
      </c>
      <c r="AE25" s="1">
        <v>25453.1</v>
      </c>
      <c r="AF25" s="7">
        <v>25453.1</v>
      </c>
      <c r="AG25" s="1">
        <v>25462.5</v>
      </c>
      <c r="AH25" s="1">
        <v>25472</v>
      </c>
      <c r="AI25" s="1">
        <v>25481.399999999998</v>
      </c>
      <c r="AJ25" s="1">
        <v>25348.835714285698</v>
      </c>
      <c r="AK25" s="1">
        <v>25366.5285714286</v>
      </c>
      <c r="AL25" s="1">
        <v>25384.2214285714</v>
      </c>
      <c r="AM25" s="7">
        <v>25401.914285714302</v>
      </c>
      <c r="AN25" s="1">
        <v>25419.607142857101</v>
      </c>
      <c r="AO25" s="1">
        <v>25437.3</v>
      </c>
      <c r="AP25" s="1">
        <v>25454.992857142799</v>
      </c>
      <c r="AQ25" s="1">
        <v>25472.685714285701</v>
      </c>
      <c r="AR25" s="1">
        <v>25490.378571428599</v>
      </c>
      <c r="AS25" s="1">
        <v>25508.071428571398</v>
      </c>
      <c r="AT25" s="7">
        <v>25525.7642857143</v>
      </c>
      <c r="AU25" s="1">
        <v>25543.4571428571</v>
      </c>
      <c r="AV25" s="1">
        <v>25561.15</v>
      </c>
      <c r="AW25" s="1">
        <v>25578.842857142801</v>
      </c>
      <c r="AX25" s="1">
        <v>25596.535714285699</v>
      </c>
      <c r="AY25" s="1">
        <v>25614.228571428601</v>
      </c>
      <c r="AZ25" s="1">
        <v>25631.921428571401</v>
      </c>
      <c r="BA25" s="7">
        <v>25649.614285714299</v>
      </c>
      <c r="BB25" s="1">
        <v>25667.307142857098</v>
      </c>
      <c r="BC25" s="1">
        <v>25685</v>
      </c>
      <c r="BD25" s="1">
        <v>25702.6928571428</v>
      </c>
      <c r="BE25" s="1">
        <v>25720.385714285701</v>
      </c>
      <c r="BF25" s="1">
        <v>25738.078571428599</v>
      </c>
      <c r="BG25" s="1">
        <v>25755.771428571399</v>
      </c>
      <c r="BH25" s="7">
        <v>25773.464285714301</v>
      </c>
      <c r="BI25" s="1">
        <v>25791.157142857101</v>
      </c>
      <c r="BJ25" s="1">
        <v>25808.85</v>
      </c>
      <c r="BK25" s="1">
        <v>25826.542857142798</v>
      </c>
      <c r="BL25" s="1">
        <v>25844.2357142857</v>
      </c>
      <c r="BM25" s="1">
        <v>25861.928571428602</v>
      </c>
    </row>
    <row r="26" spans="1:65" x14ac:dyDescent="0.25">
      <c r="A26" s="11">
        <v>50</v>
      </c>
      <c r="B26" s="1">
        <v>3922</v>
      </c>
      <c r="C26" s="1">
        <v>3922</v>
      </c>
      <c r="D26" s="1">
        <v>3928.5</v>
      </c>
      <c r="E26" s="1">
        <v>3928.7999999999997</v>
      </c>
      <c r="F26" s="1">
        <v>3929.1</v>
      </c>
      <c r="G26" s="1">
        <v>3929.2999999999997</v>
      </c>
      <c r="H26" s="1">
        <v>3929.6</v>
      </c>
      <c r="I26" s="1">
        <v>3929.9</v>
      </c>
      <c r="J26" s="1">
        <v>3929.9</v>
      </c>
      <c r="K26" s="1">
        <v>3929.9</v>
      </c>
      <c r="L26" s="1">
        <v>3930.1</v>
      </c>
      <c r="M26" s="1">
        <v>3930.1</v>
      </c>
      <c r="N26" s="1">
        <v>3930.4</v>
      </c>
      <c r="O26" s="1">
        <v>3930.6</v>
      </c>
      <c r="P26" s="1">
        <v>3930.9</v>
      </c>
      <c r="Q26" s="1">
        <v>3930.9</v>
      </c>
      <c r="R26" s="1">
        <v>3930.9</v>
      </c>
      <c r="S26" s="1">
        <v>3931.2</v>
      </c>
      <c r="T26" s="1">
        <v>3931.4</v>
      </c>
      <c r="U26" s="1">
        <v>3931.7</v>
      </c>
      <c r="V26" s="1">
        <v>3932</v>
      </c>
      <c r="W26" s="1">
        <v>3932.2</v>
      </c>
      <c r="X26" s="1">
        <v>3932.2</v>
      </c>
      <c r="Y26" s="1">
        <v>3932.2</v>
      </c>
      <c r="Z26" s="1">
        <v>3932.5</v>
      </c>
      <c r="AA26" s="1">
        <v>3932.7</v>
      </c>
      <c r="AB26" s="1">
        <v>3933</v>
      </c>
      <c r="AC26" s="1">
        <v>3933.2999999999997</v>
      </c>
      <c r="AD26" s="1">
        <v>3933.5</v>
      </c>
      <c r="AE26" s="1">
        <v>3933.5</v>
      </c>
      <c r="AF26" s="7">
        <v>3933.5</v>
      </c>
      <c r="AG26" s="1">
        <v>3933.7999999999997</v>
      </c>
      <c r="AH26" s="1">
        <v>3934</v>
      </c>
      <c r="AI26" s="1">
        <v>3934.2999999999997</v>
      </c>
      <c r="AJ26" s="1">
        <v>3929.63571428571</v>
      </c>
      <c r="AK26" s="1">
        <v>3929.9</v>
      </c>
      <c r="AL26" s="1">
        <v>3930.1642857142901</v>
      </c>
      <c r="AM26" s="7">
        <v>3930.4285714285702</v>
      </c>
      <c r="AN26" s="1">
        <v>3930.6928571428598</v>
      </c>
      <c r="AO26" s="1">
        <v>3930.9571428571398</v>
      </c>
      <c r="AP26" s="1">
        <v>3931.2214285714299</v>
      </c>
      <c r="AQ26" s="1">
        <v>3931.4857142857099</v>
      </c>
      <c r="AR26" s="1">
        <v>3931.75</v>
      </c>
      <c r="AS26" s="1">
        <v>3932.0142857142901</v>
      </c>
      <c r="AT26" s="7">
        <v>3932.2785714285701</v>
      </c>
      <c r="AU26" s="1">
        <v>3932.5428571428602</v>
      </c>
      <c r="AV26" s="1">
        <v>3932.8071428571402</v>
      </c>
      <c r="AW26" s="1">
        <v>3933.0714285714298</v>
      </c>
      <c r="AX26" s="1">
        <v>3933.3357142857099</v>
      </c>
      <c r="AY26" s="1">
        <v>3933.6</v>
      </c>
      <c r="AZ26" s="1">
        <v>3933.86428571428</v>
      </c>
      <c r="BA26" s="7">
        <v>3934.12857142857</v>
      </c>
      <c r="BB26" s="1">
        <v>3934.3928571428601</v>
      </c>
      <c r="BC26" s="1">
        <v>3934.6571428571401</v>
      </c>
      <c r="BD26" s="1">
        <v>3934.9214285714302</v>
      </c>
      <c r="BE26" s="1">
        <v>3935.1857142857102</v>
      </c>
      <c r="BF26" s="1">
        <v>3935.45</v>
      </c>
      <c r="BG26" s="1">
        <v>3935.7142857142799</v>
      </c>
      <c r="BH26" s="7">
        <v>3935.9785714285699</v>
      </c>
      <c r="BI26" s="1">
        <v>3936.24285714286</v>
      </c>
      <c r="BJ26" s="1">
        <v>3936.50714285714</v>
      </c>
      <c r="BK26" s="1">
        <v>3936.7714285714301</v>
      </c>
      <c r="BL26" s="1">
        <v>3937.0357142857101</v>
      </c>
      <c r="BM26" s="1">
        <v>3937.3</v>
      </c>
    </row>
    <row r="27" spans="1:65" x14ac:dyDescent="0.25">
      <c r="A27" s="11">
        <v>250</v>
      </c>
      <c r="B27" s="1">
        <v>10808.800000000001</v>
      </c>
      <c r="C27" s="1">
        <v>10808.800000000001</v>
      </c>
      <c r="D27" s="1">
        <v>10997.1</v>
      </c>
      <c r="E27" s="1">
        <v>11001.5</v>
      </c>
      <c r="F27" s="1">
        <v>11006</v>
      </c>
      <c r="G27" s="1">
        <v>11010.5</v>
      </c>
      <c r="H27" s="1">
        <v>11015</v>
      </c>
      <c r="I27" s="1">
        <v>11019.4</v>
      </c>
      <c r="J27" s="1">
        <v>11019.4</v>
      </c>
      <c r="K27" s="1">
        <v>11019.4</v>
      </c>
      <c r="L27" s="1">
        <v>11023.9</v>
      </c>
      <c r="M27" s="1">
        <v>11023.9</v>
      </c>
      <c r="N27" s="1">
        <v>11028.4</v>
      </c>
      <c r="O27" s="1">
        <v>11032.800000000001</v>
      </c>
      <c r="P27" s="1">
        <v>11037.300000000001</v>
      </c>
      <c r="Q27" s="1">
        <v>11037.300000000001</v>
      </c>
      <c r="R27" s="1">
        <v>11037.300000000001</v>
      </c>
      <c r="S27" s="1">
        <v>11041.800000000001</v>
      </c>
      <c r="T27" s="1">
        <v>11046.2</v>
      </c>
      <c r="U27" s="1">
        <v>11050.7</v>
      </c>
      <c r="V27" s="1">
        <v>11055.2</v>
      </c>
      <c r="W27" s="1">
        <v>11059.6</v>
      </c>
      <c r="X27" s="1">
        <v>11059.6</v>
      </c>
      <c r="Y27" s="1">
        <v>11059.6</v>
      </c>
      <c r="Z27" s="1">
        <v>11064.1</v>
      </c>
      <c r="AA27" s="1">
        <v>11068.6</v>
      </c>
      <c r="AB27" s="1">
        <v>11073.1</v>
      </c>
      <c r="AC27" s="1">
        <v>11077.5</v>
      </c>
      <c r="AD27" s="1">
        <v>11082</v>
      </c>
      <c r="AE27" s="1">
        <v>11082</v>
      </c>
      <c r="AF27" s="7">
        <v>11082</v>
      </c>
      <c r="AG27" s="1">
        <v>11086.5</v>
      </c>
      <c r="AH27" s="1">
        <v>11090.9</v>
      </c>
      <c r="AI27" s="1">
        <v>11095.4</v>
      </c>
      <c r="AJ27" s="1">
        <v>11029.771428571399</v>
      </c>
      <c r="AK27" s="1">
        <v>11037.5142857143</v>
      </c>
      <c r="AL27" s="1">
        <v>11045.257142857099</v>
      </c>
      <c r="AM27" s="7">
        <v>11053</v>
      </c>
      <c r="AN27" s="1">
        <v>11060.742857142901</v>
      </c>
      <c r="AO27" s="1">
        <v>11068.4857142857</v>
      </c>
      <c r="AP27" s="1">
        <v>11076.228571428601</v>
      </c>
      <c r="AQ27" s="1">
        <v>11083.9714285714</v>
      </c>
      <c r="AR27" s="1">
        <v>11091.714285714301</v>
      </c>
      <c r="AS27" s="1">
        <v>11099.4571428571</v>
      </c>
      <c r="AT27" s="7">
        <v>11107.2</v>
      </c>
      <c r="AU27" s="1">
        <v>11114.9428571429</v>
      </c>
      <c r="AV27" s="1">
        <v>11122.685714285701</v>
      </c>
      <c r="AW27" s="1">
        <v>11130.4285714286</v>
      </c>
      <c r="AX27" s="1">
        <v>11138.171428571401</v>
      </c>
      <c r="AY27" s="1">
        <v>11145.9142857143</v>
      </c>
      <c r="AZ27" s="1">
        <v>11153.657142857101</v>
      </c>
      <c r="BA27" s="7">
        <v>11161.4</v>
      </c>
      <c r="BB27" s="1">
        <v>11169.142857142901</v>
      </c>
      <c r="BC27" s="1">
        <v>11176.8857142857</v>
      </c>
      <c r="BD27" s="1">
        <v>11184.6285714286</v>
      </c>
      <c r="BE27" s="1">
        <v>11192.3714285714</v>
      </c>
      <c r="BF27" s="1">
        <v>11200.1142857143</v>
      </c>
      <c r="BG27" s="1">
        <v>11207.857142857099</v>
      </c>
      <c r="BH27" s="7">
        <v>11215.6</v>
      </c>
      <c r="BI27" s="1">
        <v>11223.342857142899</v>
      </c>
      <c r="BJ27" s="1">
        <v>11231.0857142857</v>
      </c>
      <c r="BK27" s="1">
        <v>11238.828571428599</v>
      </c>
      <c r="BL27" s="1">
        <v>11246.5714285714</v>
      </c>
      <c r="BM27" s="1">
        <v>11254.314285714299</v>
      </c>
    </row>
    <row r="28" spans="1:65" x14ac:dyDescent="0.25">
      <c r="A28" s="11" t="s">
        <v>2</v>
      </c>
      <c r="B28" s="1">
        <v>11935.6</v>
      </c>
      <c r="C28" s="1">
        <v>11935.6</v>
      </c>
      <c r="D28" s="1">
        <v>12032.9</v>
      </c>
      <c r="E28" s="1">
        <v>12035.2</v>
      </c>
      <c r="F28" s="1">
        <v>12037.5</v>
      </c>
      <c r="G28" s="1">
        <v>12039.800000000001</v>
      </c>
      <c r="H28" s="1">
        <v>12042.1</v>
      </c>
      <c r="I28" s="1">
        <v>12044.4</v>
      </c>
      <c r="J28" s="1">
        <v>12044.4</v>
      </c>
      <c r="K28" s="1">
        <v>12044.4</v>
      </c>
      <c r="L28" s="1">
        <v>12046.7</v>
      </c>
      <c r="M28" s="1">
        <v>12046.7</v>
      </c>
      <c r="N28" s="1">
        <v>12049</v>
      </c>
      <c r="O28" s="1">
        <v>12051.4</v>
      </c>
      <c r="P28" s="1">
        <v>12053.7</v>
      </c>
      <c r="Q28" s="1">
        <v>12053.7</v>
      </c>
      <c r="R28" s="1">
        <v>12053.7</v>
      </c>
      <c r="S28" s="1">
        <v>12056</v>
      </c>
      <c r="T28" s="1">
        <v>12058.300000000001</v>
      </c>
      <c r="U28" s="1">
        <v>12060.6</v>
      </c>
      <c r="V28" s="1">
        <v>12062.9</v>
      </c>
      <c r="W28" s="1">
        <v>12065.2</v>
      </c>
      <c r="X28" s="1">
        <v>12065.2</v>
      </c>
      <c r="Y28" s="1">
        <v>12065.2</v>
      </c>
      <c r="Z28" s="1">
        <v>12067.5</v>
      </c>
      <c r="AA28" s="1">
        <v>12069.800000000001</v>
      </c>
      <c r="AB28" s="1">
        <v>12072.1</v>
      </c>
      <c r="AC28" s="1">
        <v>12074.4</v>
      </c>
      <c r="AD28" s="1">
        <v>12076.7</v>
      </c>
      <c r="AE28" s="1">
        <v>12076.7</v>
      </c>
      <c r="AF28" s="7">
        <v>12076.7</v>
      </c>
      <c r="AG28" s="1">
        <v>12079</v>
      </c>
      <c r="AH28" s="1">
        <v>12081.300000000001</v>
      </c>
      <c r="AI28" s="1">
        <v>12083.6</v>
      </c>
      <c r="AJ28" s="1">
        <v>12049.7214285714</v>
      </c>
      <c r="AK28" s="1">
        <v>12053.714285714301</v>
      </c>
      <c r="AL28" s="1">
        <v>12057.7071428571</v>
      </c>
      <c r="AM28" s="7">
        <v>12061.7</v>
      </c>
      <c r="AN28" s="1">
        <v>12065.6928571429</v>
      </c>
      <c r="AO28" s="1">
        <v>12069.685714285701</v>
      </c>
      <c r="AP28" s="1">
        <v>12073.6785714286</v>
      </c>
      <c r="AQ28" s="1">
        <v>12077.671428571401</v>
      </c>
      <c r="AR28" s="1">
        <v>12081.6642857143</v>
      </c>
      <c r="AS28" s="1">
        <v>12085.657142857101</v>
      </c>
      <c r="AT28" s="7">
        <v>12089.65</v>
      </c>
      <c r="AU28" s="1">
        <v>12093.642857142901</v>
      </c>
      <c r="AV28" s="1">
        <v>12097.6357142857</v>
      </c>
      <c r="AW28" s="1">
        <v>12101.6285714286</v>
      </c>
      <c r="AX28" s="1">
        <v>12105.6214285714</v>
      </c>
      <c r="AY28" s="1">
        <v>12109.6142857143</v>
      </c>
      <c r="AZ28" s="1">
        <v>12113.607142857099</v>
      </c>
      <c r="BA28" s="7">
        <v>12117.6</v>
      </c>
      <c r="BB28" s="1">
        <v>12121.592857142899</v>
      </c>
      <c r="BC28" s="1">
        <v>12125.5857142857</v>
      </c>
      <c r="BD28" s="1">
        <v>12129.578571428599</v>
      </c>
      <c r="BE28" s="1">
        <v>12133.5714285714</v>
      </c>
      <c r="BF28" s="1">
        <v>12137.564285714299</v>
      </c>
      <c r="BG28" s="1">
        <v>12141.5571428571</v>
      </c>
      <c r="BH28" s="7">
        <v>12145.55</v>
      </c>
      <c r="BI28" s="1">
        <v>12149.5428571429</v>
      </c>
      <c r="BJ28" s="1">
        <v>12153.535714285699</v>
      </c>
      <c r="BK28" s="1">
        <v>12157.5285714286</v>
      </c>
      <c r="BL28" s="1">
        <v>12161.521428571399</v>
      </c>
      <c r="BM28" s="1">
        <v>12165.5142857143</v>
      </c>
    </row>
    <row r="29" spans="1:65" x14ac:dyDescent="0.25">
      <c r="A29" s="11" t="s">
        <v>3</v>
      </c>
      <c r="B29" s="1">
        <v>15839.2</v>
      </c>
      <c r="C29" s="1">
        <v>15839.2</v>
      </c>
      <c r="D29" s="1">
        <v>15871.1</v>
      </c>
      <c r="E29" s="1">
        <v>15872.2</v>
      </c>
      <c r="F29" s="1">
        <v>15873.300000000001</v>
      </c>
      <c r="G29" s="1">
        <v>15874.4</v>
      </c>
      <c r="H29" s="1">
        <v>15875.5</v>
      </c>
      <c r="I29" s="1">
        <v>15876.6</v>
      </c>
      <c r="J29" s="1">
        <v>15876.6</v>
      </c>
      <c r="K29" s="1">
        <v>15876.6</v>
      </c>
      <c r="L29" s="1">
        <v>15877.7</v>
      </c>
      <c r="M29" s="1">
        <v>15877.7</v>
      </c>
      <c r="N29" s="1">
        <v>15878.800000000001</v>
      </c>
      <c r="O29" s="1">
        <v>15879.9</v>
      </c>
      <c r="P29" s="1">
        <v>15881</v>
      </c>
      <c r="Q29" s="1">
        <v>15881</v>
      </c>
      <c r="R29" s="1">
        <v>15881</v>
      </c>
      <c r="S29" s="1">
        <v>15882.1</v>
      </c>
      <c r="T29" s="1">
        <v>15883.2</v>
      </c>
      <c r="U29" s="1">
        <v>15884.300000000001</v>
      </c>
      <c r="V29" s="1">
        <v>15885.4</v>
      </c>
      <c r="W29" s="1">
        <v>15886.5</v>
      </c>
      <c r="X29" s="1">
        <v>15886.5</v>
      </c>
      <c r="Y29" s="1">
        <v>15886.5</v>
      </c>
      <c r="Z29" s="1">
        <v>15887.6</v>
      </c>
      <c r="AA29" s="1">
        <v>15888.7</v>
      </c>
      <c r="AB29" s="1">
        <v>15889.800000000001</v>
      </c>
      <c r="AC29" s="1">
        <v>15890.9</v>
      </c>
      <c r="AD29" s="1">
        <v>15892</v>
      </c>
      <c r="AE29" s="1">
        <v>15892</v>
      </c>
      <c r="AF29" s="7">
        <v>15892</v>
      </c>
      <c r="AG29" s="1">
        <v>15893.1</v>
      </c>
      <c r="AH29" s="1">
        <v>15894.1</v>
      </c>
      <c r="AI29" s="1">
        <v>15895.2</v>
      </c>
      <c r="AJ29" s="1">
        <v>15876.6535714286</v>
      </c>
      <c r="AK29" s="1">
        <v>15877.9571428571</v>
      </c>
      <c r="AL29" s="1">
        <v>15879.2607142857</v>
      </c>
      <c r="AM29" s="7">
        <v>15880.564285714299</v>
      </c>
      <c r="AN29" s="1">
        <v>15881.867857142901</v>
      </c>
      <c r="AO29" s="1">
        <v>15883.171428571401</v>
      </c>
      <c r="AP29" s="1">
        <v>15884.475</v>
      </c>
      <c r="AQ29" s="1">
        <v>15885.7785714286</v>
      </c>
      <c r="AR29" s="1">
        <v>15887.0821428571</v>
      </c>
      <c r="AS29" s="1">
        <v>15888.3857142857</v>
      </c>
      <c r="AT29" s="7">
        <v>15889.689285714299</v>
      </c>
      <c r="AU29" s="1">
        <v>15890.992857142901</v>
      </c>
      <c r="AV29" s="1">
        <v>15892.296428571401</v>
      </c>
      <c r="AW29" s="1">
        <v>15893.6</v>
      </c>
      <c r="AX29" s="1">
        <v>15894.9035714286</v>
      </c>
      <c r="AY29" s="1">
        <v>15896.2071428571</v>
      </c>
      <c r="AZ29" s="1">
        <v>15897.5107142857</v>
      </c>
      <c r="BA29" s="7">
        <v>15898.814285714299</v>
      </c>
      <c r="BB29" s="1">
        <v>15900.117857142901</v>
      </c>
      <c r="BC29" s="1">
        <v>15901.421428571401</v>
      </c>
      <c r="BD29" s="1">
        <v>15902.725</v>
      </c>
      <c r="BE29" s="1">
        <v>15904.0285714286</v>
      </c>
      <c r="BF29" s="1">
        <v>15905.3321428571</v>
      </c>
      <c r="BG29" s="1">
        <v>15906.6357142857</v>
      </c>
      <c r="BH29" s="7">
        <v>15907.939285714299</v>
      </c>
      <c r="BI29" s="1">
        <v>15909.242857142901</v>
      </c>
      <c r="BJ29" s="1">
        <v>15910.546428571401</v>
      </c>
      <c r="BK29" s="1">
        <v>15911.85</v>
      </c>
      <c r="BL29" s="1">
        <v>15913.1535714286</v>
      </c>
      <c r="BM29" s="1">
        <v>15914.4571428571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45A4-3DC9-4AC7-99D5-83C6687EAFD2}">
  <dimension ref="A2:CI29"/>
  <sheetViews>
    <sheetView tabSelected="1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P10" sqref="P10"/>
    </sheetView>
  </sheetViews>
  <sheetFormatPr defaultRowHeight="13.8" x14ac:dyDescent="0.25"/>
  <cols>
    <col min="1" max="1" width="13.796875" style="1" customWidth="1"/>
    <col min="2" max="2" width="11.296875" style="1" hidden="1" customWidth="1"/>
    <col min="3" max="5" width="11.296875" style="1" customWidth="1"/>
    <col min="6" max="6" width="12.69921875" style="1" customWidth="1"/>
    <col min="7" max="7" width="11.5" style="1" customWidth="1"/>
    <col min="8" max="9" width="11.296875" style="1" customWidth="1"/>
    <col min="10" max="10" width="11.5" style="1" customWidth="1"/>
    <col min="11" max="11" width="11.59765625" style="1" customWidth="1"/>
    <col min="12" max="12" width="11.69921875" style="1" customWidth="1"/>
    <col min="13" max="13" width="13.296875" style="1" customWidth="1"/>
    <col min="14" max="14" width="12.09765625" style="1" customWidth="1"/>
    <col min="15" max="34" width="11.5" style="1" customWidth="1"/>
    <col min="35" max="43" width="11.5" style="1" hidden="1" customWidth="1"/>
    <col min="44" max="44" width="12" style="1" hidden="1" customWidth="1"/>
    <col min="45" max="45" width="11.5" style="1" hidden="1" customWidth="1"/>
    <col min="46" max="46" width="11.59765625" style="1" hidden="1" customWidth="1"/>
    <col min="47" max="47" width="11.69921875" style="1" hidden="1" customWidth="1"/>
    <col min="48" max="48" width="13.296875" style="1" hidden="1" customWidth="1"/>
    <col min="49" max="49" width="12.09765625" style="1" hidden="1" customWidth="1"/>
    <col min="50" max="50" width="11.5" style="1" hidden="1" customWidth="1"/>
    <col min="51" max="51" width="12" style="1" hidden="1" customWidth="1"/>
    <col min="52" max="52" width="11.5" style="1" hidden="1" customWidth="1"/>
    <col min="53" max="53" width="11.59765625" style="1" hidden="1" customWidth="1"/>
    <col min="54" max="56" width="11.69921875" style="1" hidden="1" customWidth="1"/>
    <col min="57" max="59" width="13.296875" style="1" hidden="1" customWidth="1"/>
    <col min="60" max="60" width="12.09765625" style="1" hidden="1" customWidth="1"/>
    <col min="61" max="61" width="11.59765625" style="1" hidden="1" customWidth="1"/>
    <col min="62" max="62" width="12" style="1" hidden="1" customWidth="1"/>
    <col min="63" max="63" width="13.5" style="1" hidden="1" customWidth="1"/>
    <col min="64" max="64" width="10.59765625" style="1" hidden="1" customWidth="1"/>
    <col min="65" max="65" width="9" style="1" bestFit="1" customWidth="1"/>
    <col min="66" max="66" width="7.8984375" style="1" bestFit="1" customWidth="1"/>
    <col min="67" max="16384" width="8.796875" style="1"/>
  </cols>
  <sheetData>
    <row r="2" spans="1:67" x14ac:dyDescent="0.25">
      <c r="BK2" s="2"/>
    </row>
    <row r="3" spans="1:67" x14ac:dyDescent="0.25">
      <c r="B3" s="3">
        <v>46081</v>
      </c>
      <c r="C3" s="3">
        <v>46142</v>
      </c>
      <c r="D3" s="3">
        <v>46143</v>
      </c>
      <c r="E3" s="4">
        <v>46144</v>
      </c>
      <c r="F3" s="4">
        <v>46145</v>
      </c>
      <c r="G3" s="3">
        <v>46146</v>
      </c>
      <c r="H3" s="3">
        <v>46147</v>
      </c>
      <c r="I3" s="3">
        <v>46148</v>
      </c>
      <c r="J3" s="3">
        <v>46149</v>
      </c>
      <c r="K3" s="3">
        <v>46150</v>
      </c>
      <c r="L3" s="4">
        <v>46151</v>
      </c>
      <c r="M3" s="4">
        <v>46152</v>
      </c>
      <c r="N3" s="3">
        <v>46153</v>
      </c>
      <c r="O3" s="3">
        <v>46154</v>
      </c>
      <c r="P3" s="3">
        <v>46155</v>
      </c>
      <c r="Q3" s="3">
        <v>46156</v>
      </c>
      <c r="R3" s="3">
        <v>46157</v>
      </c>
      <c r="S3" s="4">
        <v>46158</v>
      </c>
      <c r="T3" s="4">
        <v>46159</v>
      </c>
      <c r="U3" s="3">
        <v>46160</v>
      </c>
      <c r="V3" s="3">
        <v>46161</v>
      </c>
      <c r="W3" s="3">
        <v>46162</v>
      </c>
      <c r="X3" s="3">
        <v>46163</v>
      </c>
      <c r="Y3" s="3">
        <v>46164</v>
      </c>
      <c r="Z3" s="4">
        <v>46165</v>
      </c>
      <c r="AA3" s="4">
        <v>46166</v>
      </c>
      <c r="AB3" s="3">
        <v>46167</v>
      </c>
      <c r="AC3" s="3">
        <v>46168</v>
      </c>
      <c r="AD3" s="3">
        <v>46169</v>
      </c>
      <c r="AE3" s="3">
        <v>46170</v>
      </c>
      <c r="AF3" s="3">
        <v>46171</v>
      </c>
      <c r="AG3" s="4">
        <v>46172</v>
      </c>
      <c r="AH3" s="4">
        <v>46173</v>
      </c>
      <c r="AI3" s="3">
        <v>46174</v>
      </c>
      <c r="AJ3" s="3">
        <v>46175</v>
      </c>
      <c r="AK3" s="4">
        <v>46176</v>
      </c>
      <c r="AL3" s="3">
        <v>46177</v>
      </c>
      <c r="AM3" s="3">
        <v>46178</v>
      </c>
      <c r="AN3" s="4">
        <v>46179</v>
      </c>
      <c r="AO3" s="4">
        <v>46180</v>
      </c>
      <c r="AP3" s="3">
        <v>46181</v>
      </c>
      <c r="AQ3" s="3">
        <v>46182</v>
      </c>
      <c r="AR3" s="3">
        <v>46183</v>
      </c>
      <c r="AS3" s="3">
        <v>46184</v>
      </c>
      <c r="AT3" s="3">
        <v>46185</v>
      </c>
      <c r="AU3" s="4">
        <v>46186</v>
      </c>
      <c r="AV3" s="4">
        <v>46187</v>
      </c>
      <c r="AW3" s="3">
        <v>46188</v>
      </c>
      <c r="AX3" s="3">
        <v>46189</v>
      </c>
      <c r="AY3" s="3">
        <v>46190</v>
      </c>
      <c r="AZ3" s="3">
        <v>46191</v>
      </c>
      <c r="BA3" s="3">
        <v>46192</v>
      </c>
      <c r="BB3" s="4">
        <v>46193</v>
      </c>
      <c r="BC3" s="4">
        <v>46194</v>
      </c>
      <c r="BD3" s="3">
        <v>46195</v>
      </c>
      <c r="BE3" s="3">
        <v>46196</v>
      </c>
      <c r="BF3" s="3">
        <v>46197</v>
      </c>
      <c r="BG3" s="3">
        <v>46198</v>
      </c>
      <c r="BH3" s="3">
        <v>46199</v>
      </c>
      <c r="BI3" s="4">
        <v>46200</v>
      </c>
      <c r="BJ3" s="4">
        <v>46201</v>
      </c>
      <c r="BK3" s="3">
        <v>46202</v>
      </c>
      <c r="BL3" s="3">
        <v>46203</v>
      </c>
      <c r="BN3" s="5">
        <f>COUNT(B3:BL3)-19</f>
        <v>44</v>
      </c>
    </row>
    <row r="4" spans="1:67" s="7" customFormat="1" x14ac:dyDescent="0.25">
      <c r="A4" s="6">
        <v>500</v>
      </c>
      <c r="B4" s="7">
        <v>13633.825000000001</v>
      </c>
      <c r="C4" s="14">
        <v>13811.2</v>
      </c>
      <c r="D4" s="7">
        <f>C4+$BN4</f>
        <v>13822.833522727273</v>
      </c>
      <c r="E4" s="7">
        <f t="shared" ref="E4:F4" si="0">D4</f>
        <v>13822.833522727273</v>
      </c>
      <c r="F4" s="7">
        <f t="shared" si="0"/>
        <v>13822.833522727273</v>
      </c>
      <c r="G4" s="7">
        <f t="shared" ref="G4:K4" si="1">F4+$BN4</f>
        <v>13834.467045454545</v>
      </c>
      <c r="H4" s="7">
        <f t="shared" si="1"/>
        <v>13846.100568181817</v>
      </c>
      <c r="I4" s="7">
        <f t="shared" si="1"/>
        <v>13857.734090909089</v>
      </c>
      <c r="J4" s="7">
        <f t="shared" si="1"/>
        <v>13869.367613636361</v>
      </c>
      <c r="K4" s="7">
        <f t="shared" si="1"/>
        <v>13881.001136363633</v>
      </c>
      <c r="L4" s="7">
        <f t="shared" ref="L4:M4" si="2">K4</f>
        <v>13881.001136363633</v>
      </c>
      <c r="M4" s="7">
        <f t="shared" si="2"/>
        <v>13881.001136363633</v>
      </c>
      <c r="N4" s="7">
        <f t="shared" ref="N4:R4" si="3">M4+$BN4</f>
        <v>13892.634659090905</v>
      </c>
      <c r="O4" s="7">
        <f t="shared" si="3"/>
        <v>13904.268181818177</v>
      </c>
      <c r="P4" s="7">
        <f t="shared" si="3"/>
        <v>13915.901704545449</v>
      </c>
      <c r="Q4" s="7">
        <f t="shared" si="3"/>
        <v>13927.535227272721</v>
      </c>
      <c r="R4" s="7">
        <f t="shared" si="3"/>
        <v>13939.168749999993</v>
      </c>
      <c r="S4" s="7">
        <f>R4</f>
        <v>13939.168749999993</v>
      </c>
      <c r="T4" s="7">
        <f>S4</f>
        <v>13939.168749999993</v>
      </c>
      <c r="U4" s="7">
        <f t="shared" ref="U4:Y4" si="4">T4+$BN4</f>
        <v>13950.802272727266</v>
      </c>
      <c r="V4" s="7">
        <f t="shared" si="4"/>
        <v>13962.435795454538</v>
      </c>
      <c r="W4" s="7">
        <f t="shared" si="4"/>
        <v>13974.06931818181</v>
      </c>
      <c r="X4" s="7">
        <f t="shared" si="4"/>
        <v>13985.702840909082</v>
      </c>
      <c r="Y4" s="7">
        <f t="shared" si="4"/>
        <v>13997.336363636354</v>
      </c>
      <c r="Z4" s="7">
        <f>Y4</f>
        <v>13997.336363636354</v>
      </c>
      <c r="AA4" s="7">
        <f>Z4</f>
        <v>13997.336363636354</v>
      </c>
      <c r="AB4" s="7">
        <f t="shared" ref="AB4:AF4" si="5">AA4+$BN4</f>
        <v>14008.969886363626</v>
      </c>
      <c r="AC4" s="7">
        <f t="shared" si="5"/>
        <v>14020.603409090898</v>
      </c>
      <c r="AD4" s="7">
        <f t="shared" si="5"/>
        <v>14032.23693181817</v>
      </c>
      <c r="AE4" s="7">
        <f t="shared" si="5"/>
        <v>14043.870454545442</v>
      </c>
      <c r="AF4" s="7">
        <f t="shared" si="5"/>
        <v>14055.503977272714</v>
      </c>
      <c r="AG4" s="7">
        <f>AF4</f>
        <v>14055.503977272714</v>
      </c>
      <c r="AH4" s="7">
        <f>AG4</f>
        <v>14055.503977272714</v>
      </c>
      <c r="AI4" s="7">
        <f t="shared" ref="AI4:AJ4" si="6">AH4+$BN4</f>
        <v>14067.137499999986</v>
      </c>
      <c r="AJ4" s="7">
        <f t="shared" si="6"/>
        <v>14078.771022727258</v>
      </c>
      <c r="AK4" s="7">
        <f>AJ4</f>
        <v>14078.771022727258</v>
      </c>
      <c r="AL4" s="7">
        <f t="shared" ref="AL4:AM4" si="7">AK4+$BN4</f>
        <v>14090.40454545453</v>
      </c>
      <c r="AM4" s="7">
        <f t="shared" si="7"/>
        <v>14102.038068181802</v>
      </c>
      <c r="AN4" s="7">
        <f>AM4</f>
        <v>14102.038068181802</v>
      </c>
      <c r="AO4" s="7">
        <f>AN4</f>
        <v>14102.038068181802</v>
      </c>
      <c r="AP4" s="7">
        <f t="shared" ref="AP4:AT4" si="8">AO4+$BN4</f>
        <v>14113.671590909074</v>
      </c>
      <c r="AQ4" s="7">
        <f t="shared" si="8"/>
        <v>14125.305113636347</v>
      </c>
      <c r="AR4" s="7">
        <f t="shared" si="8"/>
        <v>14136.938636363619</v>
      </c>
      <c r="AS4" s="7">
        <f t="shared" si="8"/>
        <v>14148.572159090891</v>
      </c>
      <c r="AT4" s="7">
        <f t="shared" si="8"/>
        <v>14160.205681818163</v>
      </c>
      <c r="AU4" s="7">
        <f>AT4</f>
        <v>14160.205681818163</v>
      </c>
      <c r="AV4" s="7">
        <f>AU4</f>
        <v>14160.205681818163</v>
      </c>
      <c r="AW4" s="7">
        <f t="shared" ref="AW4:BA4" si="9">AV4+$BN4</f>
        <v>14171.839204545435</v>
      </c>
      <c r="AX4" s="7">
        <f t="shared" si="9"/>
        <v>14183.472727272707</v>
      </c>
      <c r="AY4" s="7">
        <f t="shared" si="9"/>
        <v>14195.106249999979</v>
      </c>
      <c r="AZ4" s="7">
        <f t="shared" si="9"/>
        <v>14206.739772727251</v>
      </c>
      <c r="BA4" s="7">
        <f t="shared" si="9"/>
        <v>14218.373295454523</v>
      </c>
      <c r="BB4" s="7">
        <f t="shared" ref="BB4:BC4" si="10">BA4</f>
        <v>14218.373295454523</v>
      </c>
      <c r="BC4" s="7">
        <f t="shared" si="10"/>
        <v>14218.373295454523</v>
      </c>
      <c r="BD4" s="7">
        <f t="shared" ref="BD4:BH4" si="11">BC4+$BN4</f>
        <v>14230.006818181795</v>
      </c>
      <c r="BE4" s="7">
        <f t="shared" si="11"/>
        <v>14241.640340909067</v>
      </c>
      <c r="BF4" s="7">
        <f t="shared" si="11"/>
        <v>14253.273863636339</v>
      </c>
      <c r="BG4" s="7">
        <f t="shared" si="11"/>
        <v>14264.907386363611</v>
      </c>
      <c r="BH4" s="7">
        <f t="shared" si="11"/>
        <v>14276.540909090883</v>
      </c>
      <c r="BI4" s="7">
        <f>BH4</f>
        <v>14276.540909090883</v>
      </c>
      <c r="BJ4" s="7">
        <f>BI4</f>
        <v>14276.540909090883</v>
      </c>
      <c r="BK4" s="7">
        <f t="shared" ref="BK4:BK11" si="12">BJ4+$BN4</f>
        <v>14288.174431818155</v>
      </c>
      <c r="BL4" s="7">
        <v>14145.7</v>
      </c>
      <c r="BM4" s="7">
        <f>BL4-B4</f>
        <v>511.875</v>
      </c>
      <c r="BN4" s="8">
        <f>BM4/$BN$3</f>
        <v>11.633522727272727</v>
      </c>
      <c r="BO4" s="13">
        <v>500</v>
      </c>
    </row>
    <row r="5" spans="1:67" s="7" customFormat="1" x14ac:dyDescent="0.25">
      <c r="A5" s="6">
        <v>165</v>
      </c>
      <c r="B5" s="7">
        <v>18701.75</v>
      </c>
      <c r="C5" s="14">
        <v>18926.3</v>
      </c>
      <c r="D5" s="7">
        <f t="shared" ref="D5:D11" si="13">C5+$BN5</f>
        <v>18943.212499999998</v>
      </c>
      <c r="E5" s="7">
        <f t="shared" ref="D5:F5" si="14">D5</f>
        <v>18943.212499999998</v>
      </c>
      <c r="F5" s="7">
        <f t="shared" si="14"/>
        <v>18943.212499999998</v>
      </c>
      <c r="G5" s="7">
        <f t="shared" ref="G5:K5" si="15">F5+$BN5</f>
        <v>18960.124999999996</v>
      </c>
      <c r="H5" s="7">
        <f t="shared" si="15"/>
        <v>18977.037499999995</v>
      </c>
      <c r="I5" s="7">
        <f t="shared" si="15"/>
        <v>18993.949999999993</v>
      </c>
      <c r="J5" s="7">
        <f t="shared" si="15"/>
        <v>19010.862499999992</v>
      </c>
      <c r="K5" s="7">
        <f t="shared" si="15"/>
        <v>19027.774999999991</v>
      </c>
      <c r="L5" s="7">
        <f t="shared" ref="L5:M5" si="16">K5</f>
        <v>19027.774999999991</v>
      </c>
      <c r="M5" s="7">
        <f t="shared" si="16"/>
        <v>19027.774999999991</v>
      </c>
      <c r="N5" s="7">
        <f t="shared" ref="N5:R5" si="17">M5+$BN5</f>
        <v>19044.687499999989</v>
      </c>
      <c r="O5" s="7">
        <f t="shared" si="17"/>
        <v>19061.599999999988</v>
      </c>
      <c r="P5" s="7">
        <f t="shared" si="17"/>
        <v>19078.512499999986</v>
      </c>
      <c r="Q5" s="7">
        <f t="shared" si="17"/>
        <v>19095.424999999985</v>
      </c>
      <c r="R5" s="7">
        <f t="shared" si="17"/>
        <v>19112.337499999983</v>
      </c>
      <c r="S5" s="7">
        <f t="shared" ref="S5:T5" si="18">R5</f>
        <v>19112.337499999983</v>
      </c>
      <c r="T5" s="7">
        <f t="shared" si="18"/>
        <v>19112.337499999983</v>
      </c>
      <c r="U5" s="7">
        <f t="shared" ref="U5:Y5" si="19">T5+$BN5</f>
        <v>19129.249999999982</v>
      </c>
      <c r="V5" s="7">
        <f t="shared" si="19"/>
        <v>19146.16249999998</v>
      </c>
      <c r="W5" s="7">
        <f t="shared" si="19"/>
        <v>19163.074999999979</v>
      </c>
      <c r="X5" s="7">
        <f t="shared" si="19"/>
        <v>19179.987499999977</v>
      </c>
      <c r="Y5" s="7">
        <f t="shared" si="19"/>
        <v>19196.899999999976</v>
      </c>
      <c r="Z5" s="7">
        <f t="shared" ref="Z5:AA5" si="20">Y5</f>
        <v>19196.899999999976</v>
      </c>
      <c r="AA5" s="7">
        <f t="shared" si="20"/>
        <v>19196.899999999976</v>
      </c>
      <c r="AB5" s="7">
        <f t="shared" ref="AB5:AF5" si="21">AA5+$BN5</f>
        <v>19213.812499999975</v>
      </c>
      <c r="AC5" s="7">
        <f t="shared" si="21"/>
        <v>19230.724999999973</v>
      </c>
      <c r="AD5" s="7">
        <f t="shared" si="21"/>
        <v>19247.637499999972</v>
      </c>
      <c r="AE5" s="7">
        <f t="shared" si="21"/>
        <v>19264.54999999997</v>
      </c>
      <c r="AF5" s="7">
        <f t="shared" si="21"/>
        <v>19281.462499999969</v>
      </c>
      <c r="AG5" s="7">
        <f t="shared" ref="AG5:AH5" si="22">AF5</f>
        <v>19281.462499999969</v>
      </c>
      <c r="AH5" s="7">
        <f t="shared" si="22"/>
        <v>19281.462499999969</v>
      </c>
      <c r="AI5" s="7">
        <f t="shared" ref="AI5:AJ5" si="23">AH5+$BN5</f>
        <v>19298.374999999967</v>
      </c>
      <c r="AJ5" s="7">
        <f t="shared" si="23"/>
        <v>19315.287499999966</v>
      </c>
      <c r="AK5" s="7">
        <f t="shared" ref="AK5" si="24">AJ5</f>
        <v>19315.287499999966</v>
      </c>
      <c r="AL5" s="7">
        <f t="shared" ref="AL5:AM5" si="25">AK5+$BN5</f>
        <v>19332.199999999964</v>
      </c>
      <c r="AM5" s="7">
        <f t="shared" si="25"/>
        <v>19349.112499999963</v>
      </c>
      <c r="AN5" s="7">
        <f t="shared" ref="AN5:AO5" si="26">AM5</f>
        <v>19349.112499999963</v>
      </c>
      <c r="AO5" s="7">
        <f t="shared" si="26"/>
        <v>19349.112499999963</v>
      </c>
      <c r="AP5" s="7">
        <f t="shared" ref="AP5:AT5" si="27">AO5+$BN5</f>
        <v>19366.024999999961</v>
      </c>
      <c r="AQ5" s="7">
        <f t="shared" si="27"/>
        <v>19382.93749999996</v>
      </c>
      <c r="AR5" s="7">
        <f t="shared" si="27"/>
        <v>19399.849999999959</v>
      </c>
      <c r="AS5" s="7">
        <f t="shared" si="27"/>
        <v>19416.762499999957</v>
      </c>
      <c r="AT5" s="7">
        <f t="shared" si="27"/>
        <v>19433.674999999956</v>
      </c>
      <c r="AU5" s="7">
        <f t="shared" ref="AU5:AV5" si="28">AT5</f>
        <v>19433.674999999956</v>
      </c>
      <c r="AV5" s="7">
        <f t="shared" si="28"/>
        <v>19433.674999999956</v>
      </c>
      <c r="AW5" s="7">
        <f t="shared" ref="AW5:BA5" si="29">AV5+$BN5</f>
        <v>19450.587499999954</v>
      </c>
      <c r="AX5" s="7">
        <f t="shared" si="29"/>
        <v>19467.499999999953</v>
      </c>
      <c r="AY5" s="7">
        <f t="shared" si="29"/>
        <v>19484.412499999951</v>
      </c>
      <c r="AZ5" s="7">
        <f t="shared" si="29"/>
        <v>19501.32499999995</v>
      </c>
      <c r="BA5" s="7">
        <f t="shared" si="29"/>
        <v>19518.237499999948</v>
      </c>
      <c r="BB5" s="7">
        <f t="shared" ref="BB5:BC5" si="30">BA5</f>
        <v>19518.237499999948</v>
      </c>
      <c r="BC5" s="7">
        <f t="shared" si="30"/>
        <v>19518.237499999948</v>
      </c>
      <c r="BD5" s="7">
        <f t="shared" ref="BD5:BH5" si="31">BC5+$BN5</f>
        <v>19535.149999999947</v>
      </c>
      <c r="BE5" s="7">
        <f t="shared" si="31"/>
        <v>19552.062499999945</v>
      </c>
      <c r="BF5" s="7">
        <f t="shared" si="31"/>
        <v>19568.974999999944</v>
      </c>
      <c r="BG5" s="7">
        <f t="shared" si="31"/>
        <v>19585.887499999943</v>
      </c>
      <c r="BH5" s="7">
        <f t="shared" si="31"/>
        <v>19602.799999999941</v>
      </c>
      <c r="BI5" s="7">
        <f t="shared" ref="BI5:BJ11" si="32">BH5</f>
        <v>19602.799999999941</v>
      </c>
      <c r="BJ5" s="7">
        <f t="shared" si="32"/>
        <v>19602.799999999941</v>
      </c>
      <c r="BK5" s="7">
        <f t="shared" si="12"/>
        <v>19619.71249999994</v>
      </c>
      <c r="BL5" s="7">
        <v>19445.900000000001</v>
      </c>
      <c r="BM5" s="7">
        <f t="shared" ref="BM5:BM11" si="33">BL5-B5</f>
        <v>744.15000000000146</v>
      </c>
      <c r="BN5" s="8">
        <f t="shared" ref="BN5:BN11" si="34">BM5/$BN$3</f>
        <v>16.912500000000033</v>
      </c>
      <c r="BO5" s="13">
        <v>165</v>
      </c>
    </row>
    <row r="6" spans="1:67" s="7" customFormat="1" x14ac:dyDescent="0.25">
      <c r="A6" s="6">
        <v>300</v>
      </c>
      <c r="B6" s="7">
        <v>668.24</v>
      </c>
      <c r="C6" s="14">
        <v>671</v>
      </c>
      <c r="D6" s="7">
        <f t="shared" si="13"/>
        <v>671.22159090909088</v>
      </c>
      <c r="E6" s="7">
        <f t="shared" ref="D6:F6" si="35">D6</f>
        <v>671.22159090909088</v>
      </c>
      <c r="F6" s="7">
        <f t="shared" si="35"/>
        <v>671.22159090909088</v>
      </c>
      <c r="G6" s="7">
        <f t="shared" ref="G6:K6" si="36">F6+$BN6</f>
        <v>671.44318181818176</v>
      </c>
      <c r="H6" s="7">
        <f t="shared" si="36"/>
        <v>671.66477272727263</v>
      </c>
      <c r="I6" s="7">
        <f t="shared" si="36"/>
        <v>671.88636363636351</v>
      </c>
      <c r="J6" s="7">
        <f t="shared" si="36"/>
        <v>672.10795454545439</v>
      </c>
      <c r="K6" s="7">
        <f t="shared" si="36"/>
        <v>672.32954545454527</v>
      </c>
      <c r="L6" s="7">
        <f t="shared" ref="L6:M6" si="37">K6</f>
        <v>672.32954545454527</v>
      </c>
      <c r="M6" s="7">
        <f t="shared" si="37"/>
        <v>672.32954545454527</v>
      </c>
      <c r="N6" s="7">
        <f t="shared" ref="N6:R6" si="38">M6+$BN6</f>
        <v>672.55113636363615</v>
      </c>
      <c r="O6" s="7">
        <f t="shared" si="38"/>
        <v>672.77272727272702</v>
      </c>
      <c r="P6" s="7">
        <f t="shared" si="38"/>
        <v>672.9943181818179</v>
      </c>
      <c r="Q6" s="7">
        <f t="shared" si="38"/>
        <v>673.21590909090878</v>
      </c>
      <c r="R6" s="7">
        <f t="shared" si="38"/>
        <v>673.43749999999966</v>
      </c>
      <c r="S6" s="7">
        <f t="shared" ref="S6:T6" si="39">R6</f>
        <v>673.43749999999966</v>
      </c>
      <c r="T6" s="7">
        <f t="shared" si="39"/>
        <v>673.43749999999966</v>
      </c>
      <c r="U6" s="7">
        <f t="shared" ref="U6:Y6" si="40">T6+$BN6</f>
        <v>673.65909090909054</v>
      </c>
      <c r="V6" s="7">
        <f t="shared" si="40"/>
        <v>673.88068181818142</v>
      </c>
      <c r="W6" s="7">
        <f t="shared" si="40"/>
        <v>674.10227272727229</v>
      </c>
      <c r="X6" s="7">
        <f t="shared" si="40"/>
        <v>674.32386363636317</v>
      </c>
      <c r="Y6" s="7">
        <f t="shared" si="40"/>
        <v>674.54545454545405</v>
      </c>
      <c r="Z6" s="7">
        <f t="shared" ref="Z6:AA6" si="41">Y6</f>
        <v>674.54545454545405</v>
      </c>
      <c r="AA6" s="7">
        <f t="shared" si="41"/>
        <v>674.54545454545405</v>
      </c>
      <c r="AB6" s="7">
        <f t="shared" ref="AB6:AF6" si="42">AA6+$BN6</f>
        <v>674.76704545454493</v>
      </c>
      <c r="AC6" s="7">
        <f t="shared" si="42"/>
        <v>674.98863636363581</v>
      </c>
      <c r="AD6" s="7">
        <f t="shared" si="42"/>
        <v>675.21022727272668</v>
      </c>
      <c r="AE6" s="7">
        <f t="shared" si="42"/>
        <v>675.43181818181756</v>
      </c>
      <c r="AF6" s="7">
        <f t="shared" si="42"/>
        <v>675.65340909090844</v>
      </c>
      <c r="AG6" s="7">
        <f t="shared" ref="AG6:AH6" si="43">AF6</f>
        <v>675.65340909090844</v>
      </c>
      <c r="AH6" s="7">
        <f t="shared" si="43"/>
        <v>675.65340909090844</v>
      </c>
      <c r="AI6" s="7">
        <f t="shared" ref="AI6:AJ6" si="44">AH6+$BN6</f>
        <v>675.87499999999932</v>
      </c>
      <c r="AJ6" s="7">
        <f t="shared" si="44"/>
        <v>676.0965909090902</v>
      </c>
      <c r="AK6" s="7">
        <f t="shared" ref="AK6" si="45">AJ6</f>
        <v>676.0965909090902</v>
      </c>
      <c r="AL6" s="7">
        <f t="shared" ref="AL6:AM6" si="46">AK6+$BN6</f>
        <v>676.31818181818107</v>
      </c>
      <c r="AM6" s="7">
        <f t="shared" si="46"/>
        <v>676.53977272727195</v>
      </c>
      <c r="AN6" s="7">
        <f t="shared" ref="AN6:AO6" si="47">AM6</f>
        <v>676.53977272727195</v>
      </c>
      <c r="AO6" s="7">
        <f t="shared" si="47"/>
        <v>676.53977272727195</v>
      </c>
      <c r="AP6" s="7">
        <f t="shared" ref="AP6:AT6" si="48">AO6+$BN6</f>
        <v>676.76136363636283</v>
      </c>
      <c r="AQ6" s="7">
        <f t="shared" si="48"/>
        <v>676.98295454545371</v>
      </c>
      <c r="AR6" s="7">
        <f t="shared" si="48"/>
        <v>677.20454545454459</v>
      </c>
      <c r="AS6" s="7">
        <f t="shared" si="48"/>
        <v>677.42613636363546</v>
      </c>
      <c r="AT6" s="7">
        <f t="shared" si="48"/>
        <v>677.64772727272634</v>
      </c>
      <c r="AU6" s="7">
        <f t="shared" ref="AU6:AV6" si="49">AT6</f>
        <v>677.64772727272634</v>
      </c>
      <c r="AV6" s="7">
        <f t="shared" si="49"/>
        <v>677.64772727272634</v>
      </c>
      <c r="AW6" s="7">
        <f t="shared" ref="AW6:BA6" si="50">AV6+$BN6</f>
        <v>677.86931818181722</v>
      </c>
      <c r="AX6" s="7">
        <f t="shared" si="50"/>
        <v>678.0909090909081</v>
      </c>
      <c r="AY6" s="7">
        <f t="shared" si="50"/>
        <v>678.31249999999898</v>
      </c>
      <c r="AZ6" s="7">
        <f t="shared" si="50"/>
        <v>678.53409090908985</v>
      </c>
      <c r="BA6" s="7">
        <f t="shared" si="50"/>
        <v>678.75568181818073</v>
      </c>
      <c r="BB6" s="7">
        <f t="shared" ref="BB6:BC6" si="51">BA6</f>
        <v>678.75568181818073</v>
      </c>
      <c r="BC6" s="7">
        <f t="shared" si="51"/>
        <v>678.75568181818073</v>
      </c>
      <c r="BD6" s="7">
        <f t="shared" ref="BD6:BH6" si="52">BC6+$BN6</f>
        <v>678.97727272727161</v>
      </c>
      <c r="BE6" s="7">
        <f t="shared" si="52"/>
        <v>679.19886363636249</v>
      </c>
      <c r="BF6" s="7">
        <f t="shared" si="52"/>
        <v>679.42045454545337</v>
      </c>
      <c r="BG6" s="7">
        <f t="shared" si="52"/>
        <v>679.64204545454425</v>
      </c>
      <c r="BH6" s="7">
        <f t="shared" si="52"/>
        <v>679.86363636363512</v>
      </c>
      <c r="BI6" s="7">
        <f t="shared" si="32"/>
        <v>679.86363636363512</v>
      </c>
      <c r="BJ6" s="7">
        <f t="shared" si="32"/>
        <v>679.86363636363512</v>
      </c>
      <c r="BK6" s="7">
        <f t="shared" si="12"/>
        <v>680.085227272726</v>
      </c>
      <c r="BL6" s="7">
        <v>677.99</v>
      </c>
      <c r="BM6" s="7">
        <f t="shared" si="33"/>
        <v>9.75</v>
      </c>
      <c r="BN6" s="8">
        <f t="shared" si="34"/>
        <v>0.22159090909090909</v>
      </c>
      <c r="BO6" s="13">
        <v>300</v>
      </c>
    </row>
    <row r="7" spans="1:67" s="7" customFormat="1" x14ac:dyDescent="0.25">
      <c r="A7" s="6">
        <v>120</v>
      </c>
      <c r="B7" s="7">
        <v>25969.996999999999</v>
      </c>
      <c r="C7" s="14">
        <v>26396.2</v>
      </c>
      <c r="D7" s="7">
        <f t="shared" si="13"/>
        <v>26427.482568181818</v>
      </c>
      <c r="E7" s="7">
        <f t="shared" ref="D7:F7" si="53">D7</f>
        <v>26427.482568181818</v>
      </c>
      <c r="F7" s="7">
        <f t="shared" si="53"/>
        <v>26427.482568181818</v>
      </c>
      <c r="G7" s="7">
        <f t="shared" ref="G7:K7" si="54">F7+$BN7</f>
        <v>26458.765136363636</v>
      </c>
      <c r="H7" s="7">
        <f t="shared" si="54"/>
        <v>26490.047704545454</v>
      </c>
      <c r="I7" s="7">
        <f t="shared" si="54"/>
        <v>26521.330272727271</v>
      </c>
      <c r="J7" s="7">
        <f t="shared" si="54"/>
        <v>26552.612840909089</v>
      </c>
      <c r="K7" s="7">
        <f t="shared" si="54"/>
        <v>26583.895409090906</v>
      </c>
      <c r="L7" s="7">
        <f t="shared" ref="L7:M7" si="55">K7</f>
        <v>26583.895409090906</v>
      </c>
      <c r="M7" s="7">
        <f t="shared" si="55"/>
        <v>26583.895409090906</v>
      </c>
      <c r="N7" s="7">
        <f t="shared" ref="N7:R7" si="56">M7+$BN7</f>
        <v>26615.177977272724</v>
      </c>
      <c r="O7" s="7">
        <f t="shared" si="56"/>
        <v>26646.460545454542</v>
      </c>
      <c r="P7" s="7">
        <f t="shared" si="56"/>
        <v>26677.743113636359</v>
      </c>
      <c r="Q7" s="7">
        <f t="shared" si="56"/>
        <v>26709.025681818177</v>
      </c>
      <c r="R7" s="7">
        <f t="shared" si="56"/>
        <v>26740.308249999995</v>
      </c>
      <c r="S7" s="7">
        <f t="shared" ref="S7:T7" si="57">R7</f>
        <v>26740.308249999995</v>
      </c>
      <c r="T7" s="7">
        <f t="shared" si="57"/>
        <v>26740.308249999995</v>
      </c>
      <c r="U7" s="7">
        <f t="shared" ref="U7:Y7" si="58">T7+$BN7</f>
        <v>26771.590818181812</v>
      </c>
      <c r="V7" s="7">
        <f t="shared" si="58"/>
        <v>26802.87338636363</v>
      </c>
      <c r="W7" s="7">
        <f t="shared" si="58"/>
        <v>26834.155954545447</v>
      </c>
      <c r="X7" s="7">
        <f t="shared" si="58"/>
        <v>26865.438522727265</v>
      </c>
      <c r="Y7" s="7">
        <f t="shared" si="58"/>
        <v>26896.721090909083</v>
      </c>
      <c r="Z7" s="7">
        <f t="shared" ref="Z7:AA7" si="59">Y7</f>
        <v>26896.721090909083</v>
      </c>
      <c r="AA7" s="7">
        <f t="shared" si="59"/>
        <v>26896.721090909083</v>
      </c>
      <c r="AB7" s="7">
        <f t="shared" ref="AB7:AF7" si="60">AA7+$BN7</f>
        <v>26928.0036590909</v>
      </c>
      <c r="AC7" s="7">
        <f t="shared" si="60"/>
        <v>26959.286227272718</v>
      </c>
      <c r="AD7" s="7">
        <f t="shared" si="60"/>
        <v>26990.568795454536</v>
      </c>
      <c r="AE7" s="7">
        <f t="shared" si="60"/>
        <v>27021.851363636353</v>
      </c>
      <c r="AF7" s="7">
        <f t="shared" si="60"/>
        <v>27053.133931818171</v>
      </c>
      <c r="AG7" s="7">
        <f t="shared" ref="AG7:AH7" si="61">AF7</f>
        <v>27053.133931818171</v>
      </c>
      <c r="AH7" s="7">
        <f t="shared" si="61"/>
        <v>27053.133931818171</v>
      </c>
      <c r="AI7" s="7">
        <f t="shared" ref="AI7:AJ7" si="62">AH7+$BN7</f>
        <v>27084.416499999988</v>
      </c>
      <c r="AJ7" s="7">
        <f t="shared" si="62"/>
        <v>27115.699068181806</v>
      </c>
      <c r="AK7" s="7">
        <f t="shared" ref="AK7" si="63">AJ7</f>
        <v>27115.699068181806</v>
      </c>
      <c r="AL7" s="7">
        <f t="shared" ref="AL7:AM7" si="64">AK7+$BN7</f>
        <v>27146.981636363624</v>
      </c>
      <c r="AM7" s="7">
        <f t="shared" si="64"/>
        <v>27178.264204545441</v>
      </c>
      <c r="AN7" s="7">
        <f t="shared" ref="AN7:AO7" si="65">AM7</f>
        <v>27178.264204545441</v>
      </c>
      <c r="AO7" s="7">
        <f t="shared" si="65"/>
        <v>27178.264204545441</v>
      </c>
      <c r="AP7" s="7">
        <f t="shared" ref="AP7:AT7" si="66">AO7+$BN7</f>
        <v>27209.546772727259</v>
      </c>
      <c r="AQ7" s="7">
        <f t="shared" si="66"/>
        <v>27240.829340909077</v>
      </c>
      <c r="AR7" s="7">
        <f t="shared" si="66"/>
        <v>27272.111909090894</v>
      </c>
      <c r="AS7" s="7">
        <f t="shared" si="66"/>
        <v>27303.394477272712</v>
      </c>
      <c r="AT7" s="7">
        <f t="shared" si="66"/>
        <v>27334.677045454529</v>
      </c>
      <c r="AU7" s="7">
        <f t="shared" ref="AU7:AV7" si="67">AT7</f>
        <v>27334.677045454529</v>
      </c>
      <c r="AV7" s="7">
        <f t="shared" si="67"/>
        <v>27334.677045454529</v>
      </c>
      <c r="AW7" s="7">
        <f t="shared" ref="AW7:BA7" si="68">AV7+$BN7</f>
        <v>27365.959613636347</v>
      </c>
      <c r="AX7" s="7">
        <f t="shared" si="68"/>
        <v>27397.242181818165</v>
      </c>
      <c r="AY7" s="7">
        <f t="shared" si="68"/>
        <v>27428.524749999982</v>
      </c>
      <c r="AZ7" s="7">
        <f t="shared" si="68"/>
        <v>27459.8073181818</v>
      </c>
      <c r="BA7" s="7">
        <f t="shared" si="68"/>
        <v>27491.089886363618</v>
      </c>
      <c r="BB7" s="7">
        <f t="shared" ref="BB7:BC7" si="69">BA7</f>
        <v>27491.089886363618</v>
      </c>
      <c r="BC7" s="7">
        <f t="shared" si="69"/>
        <v>27491.089886363618</v>
      </c>
      <c r="BD7" s="7">
        <f t="shared" ref="BD7:BH7" si="70">BC7+$BN7</f>
        <v>27522.372454545435</v>
      </c>
      <c r="BE7" s="7">
        <f t="shared" si="70"/>
        <v>27553.655022727253</v>
      </c>
      <c r="BF7" s="7">
        <f t="shared" si="70"/>
        <v>27584.93759090907</v>
      </c>
      <c r="BG7" s="7">
        <f t="shared" si="70"/>
        <v>27616.220159090888</v>
      </c>
      <c r="BH7" s="7">
        <f t="shared" si="70"/>
        <v>27647.502727272706</v>
      </c>
      <c r="BI7" s="7">
        <f t="shared" si="32"/>
        <v>27647.502727272706</v>
      </c>
      <c r="BJ7" s="7">
        <f t="shared" si="32"/>
        <v>27647.502727272706</v>
      </c>
      <c r="BK7" s="7">
        <f t="shared" si="12"/>
        <v>27678.785295454523</v>
      </c>
      <c r="BL7" s="7">
        <v>27346.43</v>
      </c>
      <c r="BM7" s="7">
        <f t="shared" si="33"/>
        <v>1376.4330000000009</v>
      </c>
      <c r="BN7" s="8">
        <f t="shared" si="34"/>
        <v>31.282568181818203</v>
      </c>
      <c r="BO7" s="13">
        <v>120</v>
      </c>
    </row>
    <row r="8" spans="1:67" s="7" customFormat="1" x14ac:dyDescent="0.25">
      <c r="A8" s="6">
        <v>50</v>
      </c>
      <c r="B8" s="7">
        <v>3951.5749999999998</v>
      </c>
      <c r="C8" s="14">
        <v>3968</v>
      </c>
      <c r="D8" s="7">
        <f t="shared" si="13"/>
        <v>3969.2142045454548</v>
      </c>
      <c r="E8" s="7">
        <f t="shared" ref="D8:F8" si="71">D8</f>
        <v>3969.2142045454548</v>
      </c>
      <c r="F8" s="7">
        <f t="shared" si="71"/>
        <v>3969.2142045454548</v>
      </c>
      <c r="G8" s="7">
        <f t="shared" ref="G8:K8" si="72">F8+$BN8</f>
        <v>3970.4284090909096</v>
      </c>
      <c r="H8" s="7">
        <f t="shared" si="72"/>
        <v>3971.6426136363643</v>
      </c>
      <c r="I8" s="7">
        <f t="shared" si="72"/>
        <v>3972.8568181818191</v>
      </c>
      <c r="J8" s="7">
        <f t="shared" si="72"/>
        <v>3974.0710227272739</v>
      </c>
      <c r="K8" s="7">
        <f t="shared" si="72"/>
        <v>3975.2852272727287</v>
      </c>
      <c r="L8" s="7">
        <f t="shared" ref="L8:M8" si="73">K8</f>
        <v>3975.2852272727287</v>
      </c>
      <c r="M8" s="7">
        <f t="shared" si="73"/>
        <v>3975.2852272727287</v>
      </c>
      <c r="N8" s="7">
        <f t="shared" ref="N8:R8" si="74">M8+$BN8</f>
        <v>3976.4994318181834</v>
      </c>
      <c r="O8" s="7">
        <f t="shared" si="74"/>
        <v>3977.7136363636382</v>
      </c>
      <c r="P8" s="7">
        <f t="shared" si="74"/>
        <v>3978.927840909093</v>
      </c>
      <c r="Q8" s="7">
        <f t="shared" si="74"/>
        <v>3980.1420454545478</v>
      </c>
      <c r="R8" s="7">
        <f t="shared" si="74"/>
        <v>3981.3562500000025</v>
      </c>
      <c r="S8" s="7">
        <f t="shared" ref="S8:T8" si="75">R8</f>
        <v>3981.3562500000025</v>
      </c>
      <c r="T8" s="7">
        <f t="shared" si="75"/>
        <v>3981.3562500000025</v>
      </c>
      <c r="U8" s="7">
        <f t="shared" ref="U8:Y8" si="76">T8+$BN8</f>
        <v>3982.5704545454573</v>
      </c>
      <c r="V8" s="7">
        <f t="shared" si="76"/>
        <v>3983.7846590909121</v>
      </c>
      <c r="W8" s="7">
        <f t="shared" si="76"/>
        <v>3984.9988636363669</v>
      </c>
      <c r="X8" s="7">
        <f t="shared" si="76"/>
        <v>3986.2130681818217</v>
      </c>
      <c r="Y8" s="7">
        <f t="shared" si="76"/>
        <v>3987.4272727272764</v>
      </c>
      <c r="Z8" s="7">
        <f t="shared" ref="Z8:AA8" si="77">Y8</f>
        <v>3987.4272727272764</v>
      </c>
      <c r="AA8" s="7">
        <f t="shared" si="77"/>
        <v>3987.4272727272764</v>
      </c>
      <c r="AB8" s="7">
        <f t="shared" ref="AB8:AF8" si="78">AA8+$BN8</f>
        <v>3988.6414772727312</v>
      </c>
      <c r="AC8" s="7">
        <f t="shared" si="78"/>
        <v>3989.855681818186</v>
      </c>
      <c r="AD8" s="7">
        <f t="shared" si="78"/>
        <v>3991.0698863636408</v>
      </c>
      <c r="AE8" s="7">
        <f t="shared" si="78"/>
        <v>3992.2840909090955</v>
      </c>
      <c r="AF8" s="7">
        <f t="shared" si="78"/>
        <v>3993.4982954545503</v>
      </c>
      <c r="AG8" s="7">
        <f t="shared" ref="AG8:AH8" si="79">AF8</f>
        <v>3993.4982954545503</v>
      </c>
      <c r="AH8" s="7">
        <f t="shared" si="79"/>
        <v>3993.4982954545503</v>
      </c>
      <c r="AI8" s="7">
        <f t="shared" ref="AI8:AJ8" si="80">AH8+$BN8</f>
        <v>3994.7125000000051</v>
      </c>
      <c r="AJ8" s="7">
        <f t="shared" si="80"/>
        <v>3995.9267045454599</v>
      </c>
      <c r="AK8" s="7">
        <f t="shared" ref="AK8" si="81">AJ8</f>
        <v>3995.9267045454599</v>
      </c>
      <c r="AL8" s="7">
        <f t="shared" ref="AL8:AM8" si="82">AK8+$BN8</f>
        <v>3997.1409090909146</v>
      </c>
      <c r="AM8" s="7">
        <f t="shared" si="82"/>
        <v>3998.3551136363694</v>
      </c>
      <c r="AN8" s="7">
        <f t="shared" ref="AN8:AO8" si="83">AM8</f>
        <v>3998.3551136363694</v>
      </c>
      <c r="AO8" s="7">
        <f t="shared" si="83"/>
        <v>3998.3551136363694</v>
      </c>
      <c r="AP8" s="7">
        <f t="shared" ref="AP8:AT8" si="84">AO8+$BN8</f>
        <v>3999.5693181818242</v>
      </c>
      <c r="AQ8" s="7">
        <f t="shared" si="84"/>
        <v>4000.783522727279</v>
      </c>
      <c r="AR8" s="7">
        <f t="shared" si="84"/>
        <v>4001.9977272727338</v>
      </c>
      <c r="AS8" s="7">
        <f t="shared" si="84"/>
        <v>4003.2119318181885</v>
      </c>
      <c r="AT8" s="7">
        <f t="shared" si="84"/>
        <v>4004.4261363636433</v>
      </c>
      <c r="AU8" s="7">
        <f t="shared" ref="AU8:AV8" si="85">AT8</f>
        <v>4004.4261363636433</v>
      </c>
      <c r="AV8" s="7">
        <f t="shared" si="85"/>
        <v>4004.4261363636433</v>
      </c>
      <c r="AW8" s="7">
        <f t="shared" ref="AW8:BA8" si="86">AV8+$BN8</f>
        <v>4005.6403409090981</v>
      </c>
      <c r="AX8" s="7">
        <f t="shared" si="86"/>
        <v>4006.8545454545529</v>
      </c>
      <c r="AY8" s="7">
        <f t="shared" si="86"/>
        <v>4008.0687500000076</v>
      </c>
      <c r="AZ8" s="7">
        <f t="shared" si="86"/>
        <v>4009.2829545454624</v>
      </c>
      <c r="BA8" s="7">
        <f t="shared" si="86"/>
        <v>4010.4971590909172</v>
      </c>
      <c r="BB8" s="7">
        <f t="shared" ref="BB8:BC8" si="87">BA8</f>
        <v>4010.4971590909172</v>
      </c>
      <c r="BC8" s="7">
        <f t="shared" si="87"/>
        <v>4010.4971590909172</v>
      </c>
      <c r="BD8" s="7">
        <f t="shared" ref="BD8:BH8" si="88">BC8+$BN8</f>
        <v>4011.711363636372</v>
      </c>
      <c r="BE8" s="7">
        <f t="shared" si="88"/>
        <v>4012.9255681818267</v>
      </c>
      <c r="BF8" s="7">
        <f t="shared" si="88"/>
        <v>4014.1397727272815</v>
      </c>
      <c r="BG8" s="7">
        <f t="shared" si="88"/>
        <v>4015.3539772727363</v>
      </c>
      <c r="BH8" s="7">
        <f t="shared" si="88"/>
        <v>4016.5681818181911</v>
      </c>
      <c r="BI8" s="7">
        <f t="shared" si="32"/>
        <v>4016.5681818181911</v>
      </c>
      <c r="BJ8" s="7">
        <f t="shared" si="32"/>
        <v>4016.5681818181911</v>
      </c>
      <c r="BK8" s="7">
        <f t="shared" si="12"/>
        <v>4017.7823863636459</v>
      </c>
      <c r="BL8" s="7">
        <v>4005</v>
      </c>
      <c r="BM8" s="7">
        <f t="shared" si="33"/>
        <v>53.425000000000182</v>
      </c>
      <c r="BN8" s="8">
        <f t="shared" si="34"/>
        <v>1.2142045454545496</v>
      </c>
      <c r="BO8" s="13">
        <v>50</v>
      </c>
    </row>
    <row r="9" spans="1:67" s="7" customFormat="1" x14ac:dyDescent="0.25">
      <c r="A9" s="6">
        <v>250</v>
      </c>
      <c r="B9" s="7">
        <v>11321.121999999999</v>
      </c>
      <c r="C9" s="14">
        <v>11488.2</v>
      </c>
      <c r="D9" s="7">
        <f t="shared" si="13"/>
        <v>11499.996545454545</v>
      </c>
      <c r="E9" s="7">
        <f t="shared" ref="D9:F9" si="89">D9</f>
        <v>11499.996545454545</v>
      </c>
      <c r="F9" s="7">
        <f t="shared" si="89"/>
        <v>11499.996545454545</v>
      </c>
      <c r="G9" s="7">
        <f t="shared" ref="G9:K9" si="90">F9+$BN9</f>
        <v>11511.79309090909</v>
      </c>
      <c r="H9" s="7">
        <f t="shared" si="90"/>
        <v>11523.589636363635</v>
      </c>
      <c r="I9" s="7">
        <f t="shared" si="90"/>
        <v>11535.386181818179</v>
      </c>
      <c r="J9" s="7">
        <f t="shared" si="90"/>
        <v>11547.182727272724</v>
      </c>
      <c r="K9" s="7">
        <f t="shared" si="90"/>
        <v>11558.979272727269</v>
      </c>
      <c r="L9" s="7">
        <f t="shared" ref="L9:M9" si="91">K9</f>
        <v>11558.979272727269</v>
      </c>
      <c r="M9" s="7">
        <f t="shared" si="91"/>
        <v>11558.979272727269</v>
      </c>
      <c r="N9" s="7">
        <f t="shared" ref="N9:R9" si="92">M9+$BN9</f>
        <v>11570.775818181814</v>
      </c>
      <c r="O9" s="7">
        <f t="shared" si="92"/>
        <v>11582.572363636358</v>
      </c>
      <c r="P9" s="7">
        <f t="shared" si="92"/>
        <v>11594.368909090903</v>
      </c>
      <c r="Q9" s="7">
        <f t="shared" si="92"/>
        <v>11606.165454545448</v>
      </c>
      <c r="R9" s="7">
        <f t="shared" si="92"/>
        <v>11617.961999999992</v>
      </c>
      <c r="S9" s="7">
        <f t="shared" ref="S9:T9" si="93">R9</f>
        <v>11617.961999999992</v>
      </c>
      <c r="T9" s="7">
        <f t="shared" si="93"/>
        <v>11617.961999999992</v>
      </c>
      <c r="U9" s="7">
        <f t="shared" ref="U9:Y9" si="94">T9+$BN9</f>
        <v>11629.758545454537</v>
      </c>
      <c r="V9" s="7">
        <f t="shared" si="94"/>
        <v>11641.555090909082</v>
      </c>
      <c r="W9" s="7">
        <f t="shared" si="94"/>
        <v>11653.351636363626</v>
      </c>
      <c r="X9" s="7">
        <f t="shared" si="94"/>
        <v>11665.148181818171</v>
      </c>
      <c r="Y9" s="7">
        <f t="shared" si="94"/>
        <v>11676.944727272716</v>
      </c>
      <c r="Z9" s="7">
        <f t="shared" ref="Z9:AA9" si="95">Y9</f>
        <v>11676.944727272716</v>
      </c>
      <c r="AA9" s="7">
        <f t="shared" si="95"/>
        <v>11676.944727272716</v>
      </c>
      <c r="AB9" s="7">
        <f t="shared" ref="AB9:AF9" si="96">AA9+$BN9</f>
        <v>11688.74127272726</v>
      </c>
      <c r="AC9" s="7">
        <f t="shared" si="96"/>
        <v>11700.537818181805</v>
      </c>
      <c r="AD9" s="7">
        <f t="shared" si="96"/>
        <v>11712.33436363635</v>
      </c>
      <c r="AE9" s="7">
        <f t="shared" si="96"/>
        <v>11724.130909090894</v>
      </c>
      <c r="AF9" s="7">
        <f t="shared" si="96"/>
        <v>11735.927454545439</v>
      </c>
      <c r="AG9" s="7">
        <f t="shared" ref="AG9:AH9" si="97">AF9</f>
        <v>11735.927454545439</v>
      </c>
      <c r="AH9" s="7">
        <f t="shared" si="97"/>
        <v>11735.927454545439</v>
      </c>
      <c r="AI9" s="7">
        <f t="shared" ref="AI9:AJ9" si="98">AH9+$BN9</f>
        <v>11747.723999999984</v>
      </c>
      <c r="AJ9" s="7">
        <f t="shared" si="98"/>
        <v>11759.520545454528</v>
      </c>
      <c r="AK9" s="7">
        <f t="shared" ref="AK9" si="99">AJ9</f>
        <v>11759.520545454528</v>
      </c>
      <c r="AL9" s="7">
        <f t="shared" ref="AL9:AM9" si="100">AK9+$BN9</f>
        <v>11771.317090909073</v>
      </c>
      <c r="AM9" s="7">
        <f t="shared" si="100"/>
        <v>11783.113636363618</v>
      </c>
      <c r="AN9" s="7">
        <f t="shared" ref="AN9:AO9" si="101">AM9</f>
        <v>11783.113636363618</v>
      </c>
      <c r="AO9" s="7">
        <f t="shared" si="101"/>
        <v>11783.113636363618</v>
      </c>
      <c r="AP9" s="7">
        <f t="shared" ref="AP9:AT9" si="102">AO9+$BN9</f>
        <v>11794.910181818163</v>
      </c>
      <c r="AQ9" s="7">
        <f t="shared" si="102"/>
        <v>11806.706727272707</v>
      </c>
      <c r="AR9" s="7">
        <f t="shared" si="102"/>
        <v>11818.503272727252</v>
      </c>
      <c r="AS9" s="7">
        <f t="shared" si="102"/>
        <v>11830.299818181797</v>
      </c>
      <c r="AT9" s="7">
        <f t="shared" si="102"/>
        <v>11842.096363636341</v>
      </c>
      <c r="AU9" s="7">
        <f t="shared" ref="AU9:AV9" si="103">AT9</f>
        <v>11842.096363636341</v>
      </c>
      <c r="AV9" s="7">
        <f t="shared" si="103"/>
        <v>11842.096363636341</v>
      </c>
      <c r="AW9" s="7">
        <f t="shared" ref="AW9:BA9" si="104">AV9+$BN9</f>
        <v>11853.892909090886</v>
      </c>
      <c r="AX9" s="7">
        <f t="shared" si="104"/>
        <v>11865.689454545431</v>
      </c>
      <c r="AY9" s="7">
        <f t="shared" si="104"/>
        <v>11877.485999999975</v>
      </c>
      <c r="AZ9" s="7">
        <f t="shared" si="104"/>
        <v>11889.28254545452</v>
      </c>
      <c r="BA9" s="7">
        <f t="shared" si="104"/>
        <v>11901.079090909065</v>
      </c>
      <c r="BB9" s="7">
        <f t="shared" ref="BB9:BC9" si="105">BA9</f>
        <v>11901.079090909065</v>
      </c>
      <c r="BC9" s="7">
        <f t="shared" si="105"/>
        <v>11901.079090909065</v>
      </c>
      <c r="BD9" s="7">
        <f t="shared" ref="BD9:BH9" si="106">BC9+$BN9</f>
        <v>11912.875636363609</v>
      </c>
      <c r="BE9" s="7">
        <f t="shared" si="106"/>
        <v>11924.672181818154</v>
      </c>
      <c r="BF9" s="7">
        <f t="shared" si="106"/>
        <v>11936.468727272699</v>
      </c>
      <c r="BG9" s="7">
        <f t="shared" si="106"/>
        <v>11948.265272727243</v>
      </c>
      <c r="BH9" s="7">
        <f t="shared" si="106"/>
        <v>11960.061818181788</v>
      </c>
      <c r="BI9" s="7">
        <f t="shared" si="32"/>
        <v>11960.061818181788</v>
      </c>
      <c r="BJ9" s="7">
        <f t="shared" si="32"/>
        <v>11960.061818181788</v>
      </c>
      <c r="BK9" s="7">
        <f t="shared" si="12"/>
        <v>11971.858363636333</v>
      </c>
      <c r="BL9" s="7">
        <v>11840.17</v>
      </c>
      <c r="BM9" s="7">
        <f t="shared" si="33"/>
        <v>519.04800000000068</v>
      </c>
      <c r="BN9" s="8">
        <f t="shared" si="34"/>
        <v>11.79654545454547</v>
      </c>
      <c r="BO9" s="13">
        <v>250</v>
      </c>
    </row>
    <row r="10" spans="1:67" s="7" customFormat="1" x14ac:dyDescent="0.25">
      <c r="A10" s="6" t="s">
        <v>0</v>
      </c>
      <c r="B10" s="7">
        <v>12199.307000000001</v>
      </c>
      <c r="C10" s="14">
        <v>12291.8</v>
      </c>
      <c r="D10" s="7">
        <f t="shared" si="13"/>
        <v>12298.908477272727</v>
      </c>
      <c r="E10" s="7">
        <f t="shared" ref="D10:F10" si="107">D10</f>
        <v>12298.908477272727</v>
      </c>
      <c r="F10" s="7">
        <f t="shared" si="107"/>
        <v>12298.908477272727</v>
      </c>
      <c r="G10" s="7">
        <f t="shared" ref="G10:K10" si="108">F10+$BN10</f>
        <v>12306.016954545456</v>
      </c>
      <c r="H10" s="7">
        <f t="shared" si="108"/>
        <v>12313.125431818184</v>
      </c>
      <c r="I10" s="7">
        <f t="shared" si="108"/>
        <v>12320.233909090912</v>
      </c>
      <c r="J10" s="7">
        <f t="shared" si="108"/>
        <v>12327.34238636364</v>
      </c>
      <c r="K10" s="7">
        <f t="shared" si="108"/>
        <v>12334.450863636368</v>
      </c>
      <c r="L10" s="7">
        <f t="shared" ref="L10:M10" si="109">K10</f>
        <v>12334.450863636368</v>
      </c>
      <c r="M10" s="7">
        <f t="shared" si="109"/>
        <v>12334.450863636368</v>
      </c>
      <c r="N10" s="7">
        <f t="shared" ref="N10:R10" si="110">M10+$BN10</f>
        <v>12341.559340909096</v>
      </c>
      <c r="O10" s="7">
        <f t="shared" si="110"/>
        <v>12348.667818181824</v>
      </c>
      <c r="P10" s="7">
        <f t="shared" si="110"/>
        <v>12355.776295454552</v>
      </c>
      <c r="Q10" s="7">
        <f t="shared" si="110"/>
        <v>12362.884772727281</v>
      </c>
      <c r="R10" s="7">
        <f t="shared" si="110"/>
        <v>12369.993250000009</v>
      </c>
      <c r="S10" s="7">
        <f t="shared" ref="S10:T10" si="111">R10</f>
        <v>12369.993250000009</v>
      </c>
      <c r="T10" s="7">
        <f t="shared" si="111"/>
        <v>12369.993250000009</v>
      </c>
      <c r="U10" s="7">
        <f t="shared" ref="U10:Y10" si="112">T10+$BN10</f>
        <v>12377.101727272737</v>
      </c>
      <c r="V10" s="7">
        <f t="shared" si="112"/>
        <v>12384.210204545465</v>
      </c>
      <c r="W10" s="7">
        <f t="shared" si="112"/>
        <v>12391.318681818193</v>
      </c>
      <c r="X10" s="7">
        <f t="shared" si="112"/>
        <v>12398.427159090921</v>
      </c>
      <c r="Y10" s="7">
        <f t="shared" si="112"/>
        <v>12405.535636363649</v>
      </c>
      <c r="Z10" s="7">
        <f t="shared" ref="Z10:AA10" si="113">Y10</f>
        <v>12405.535636363649</v>
      </c>
      <c r="AA10" s="7">
        <f t="shared" si="113"/>
        <v>12405.535636363649</v>
      </c>
      <c r="AB10" s="7">
        <f t="shared" ref="AB10:AF10" si="114">AA10+$BN10</f>
        <v>12412.644113636377</v>
      </c>
      <c r="AC10" s="7">
        <f t="shared" si="114"/>
        <v>12419.752590909105</v>
      </c>
      <c r="AD10" s="7">
        <f t="shared" si="114"/>
        <v>12426.861068181834</v>
      </c>
      <c r="AE10" s="7">
        <f t="shared" si="114"/>
        <v>12433.969545454562</v>
      </c>
      <c r="AF10" s="7">
        <f t="shared" si="114"/>
        <v>12441.07802272729</v>
      </c>
      <c r="AG10" s="7">
        <f t="shared" ref="AG10:AH10" si="115">AF10</f>
        <v>12441.07802272729</v>
      </c>
      <c r="AH10" s="7">
        <f t="shared" si="115"/>
        <v>12441.07802272729</v>
      </c>
      <c r="AI10" s="7">
        <f t="shared" ref="AI10:AJ10" si="116">AH10+$BN10</f>
        <v>12448.186500000018</v>
      </c>
      <c r="AJ10" s="7">
        <f t="shared" si="116"/>
        <v>12455.294977272746</v>
      </c>
      <c r="AK10" s="7">
        <f t="shared" ref="AK10" si="117">AJ10</f>
        <v>12455.294977272746</v>
      </c>
      <c r="AL10" s="7">
        <f t="shared" ref="AL10:AM10" si="118">AK10+$BN10</f>
        <v>12462.403454545474</v>
      </c>
      <c r="AM10" s="7">
        <f t="shared" si="118"/>
        <v>12469.511931818202</v>
      </c>
      <c r="AN10" s="7">
        <f t="shared" ref="AN10:AO10" si="119">AM10</f>
        <v>12469.511931818202</v>
      </c>
      <c r="AO10" s="7">
        <f t="shared" si="119"/>
        <v>12469.511931818202</v>
      </c>
      <c r="AP10" s="7">
        <f t="shared" ref="AP10:AT10" si="120">AO10+$BN10</f>
        <v>12476.62040909093</v>
      </c>
      <c r="AQ10" s="7">
        <f t="shared" si="120"/>
        <v>12483.728886363659</v>
      </c>
      <c r="AR10" s="7">
        <f t="shared" si="120"/>
        <v>12490.837363636387</v>
      </c>
      <c r="AS10" s="7">
        <f t="shared" si="120"/>
        <v>12497.945840909115</v>
      </c>
      <c r="AT10" s="7">
        <f t="shared" si="120"/>
        <v>12505.054318181843</v>
      </c>
      <c r="AU10" s="7">
        <f t="shared" ref="AU10:AV10" si="121">AT10</f>
        <v>12505.054318181843</v>
      </c>
      <c r="AV10" s="7">
        <f t="shared" si="121"/>
        <v>12505.054318181843</v>
      </c>
      <c r="AW10" s="7">
        <f t="shared" ref="AW10:BA10" si="122">AV10+$BN10</f>
        <v>12512.162795454571</v>
      </c>
      <c r="AX10" s="7">
        <f t="shared" si="122"/>
        <v>12519.271272727299</v>
      </c>
      <c r="AY10" s="7">
        <f t="shared" si="122"/>
        <v>12526.379750000027</v>
      </c>
      <c r="AZ10" s="7">
        <f t="shared" si="122"/>
        <v>12533.488227272755</v>
      </c>
      <c r="BA10" s="7">
        <f t="shared" si="122"/>
        <v>12540.596704545484</v>
      </c>
      <c r="BB10" s="7">
        <f t="shared" ref="BB10:BC10" si="123">BA10</f>
        <v>12540.596704545484</v>
      </c>
      <c r="BC10" s="7">
        <f t="shared" si="123"/>
        <v>12540.596704545484</v>
      </c>
      <c r="BD10" s="7">
        <f t="shared" ref="BD10:BH10" si="124">BC10+$BN10</f>
        <v>12547.705181818212</v>
      </c>
      <c r="BE10" s="7">
        <f t="shared" si="124"/>
        <v>12554.81365909094</v>
      </c>
      <c r="BF10" s="7">
        <f t="shared" si="124"/>
        <v>12561.922136363668</v>
      </c>
      <c r="BG10" s="7">
        <f t="shared" si="124"/>
        <v>12569.030613636396</v>
      </c>
      <c r="BH10" s="7">
        <f t="shared" si="124"/>
        <v>12576.139090909124</v>
      </c>
      <c r="BI10" s="7">
        <f t="shared" si="32"/>
        <v>12576.139090909124</v>
      </c>
      <c r="BJ10" s="7">
        <f t="shared" si="32"/>
        <v>12576.139090909124</v>
      </c>
      <c r="BK10" s="7">
        <f t="shared" si="12"/>
        <v>12583.247568181852</v>
      </c>
      <c r="BL10" s="7">
        <v>12512.08</v>
      </c>
      <c r="BM10" s="7">
        <f t="shared" si="33"/>
        <v>312.77299999999923</v>
      </c>
      <c r="BN10" s="8">
        <f t="shared" si="34"/>
        <v>7.1084772727272556</v>
      </c>
      <c r="BO10" s="13" t="s">
        <v>0</v>
      </c>
    </row>
    <row r="11" spans="1:67" s="7" customFormat="1" x14ac:dyDescent="0.25">
      <c r="A11" s="6" t="s">
        <v>1</v>
      </c>
      <c r="B11" s="7">
        <v>15947.758</v>
      </c>
      <c r="C11" s="14">
        <v>15971.3</v>
      </c>
      <c r="D11" s="7">
        <f t="shared" si="13"/>
        <v>15973.553227272727</v>
      </c>
      <c r="E11" s="7">
        <f t="shared" ref="D11:F11" si="125">D11</f>
        <v>15973.553227272727</v>
      </c>
      <c r="F11" s="7">
        <f t="shared" si="125"/>
        <v>15973.553227272727</v>
      </c>
      <c r="G11" s="7">
        <f t="shared" ref="G11:K11" si="126">F11+$BN11</f>
        <v>15975.806454545454</v>
      </c>
      <c r="H11" s="7">
        <f t="shared" si="126"/>
        <v>15978.059681818182</v>
      </c>
      <c r="I11" s="7">
        <f t="shared" si="126"/>
        <v>15980.31290909091</v>
      </c>
      <c r="J11" s="7">
        <f t="shared" si="126"/>
        <v>15982.566136363637</v>
      </c>
      <c r="K11" s="7">
        <f t="shared" si="126"/>
        <v>15984.819363636365</v>
      </c>
      <c r="L11" s="7">
        <f t="shared" ref="L11:M11" si="127">K11</f>
        <v>15984.819363636365</v>
      </c>
      <c r="M11" s="7">
        <f t="shared" si="127"/>
        <v>15984.819363636365</v>
      </c>
      <c r="N11" s="7">
        <f t="shared" ref="N11:R11" si="128">M11+$BN11</f>
        <v>15987.072590909092</v>
      </c>
      <c r="O11" s="7">
        <f t="shared" si="128"/>
        <v>15989.32581818182</v>
      </c>
      <c r="P11" s="7">
        <f t="shared" si="128"/>
        <v>15991.579045454548</v>
      </c>
      <c r="Q11" s="7">
        <f t="shared" si="128"/>
        <v>15993.832272727275</v>
      </c>
      <c r="R11" s="7">
        <f t="shared" si="128"/>
        <v>15996.085500000003</v>
      </c>
      <c r="S11" s="7">
        <f t="shared" ref="S11:T11" si="129">R11</f>
        <v>15996.085500000003</v>
      </c>
      <c r="T11" s="7">
        <f t="shared" si="129"/>
        <v>15996.085500000003</v>
      </c>
      <c r="U11" s="7">
        <f t="shared" ref="U11:Y11" si="130">T11+$BN11</f>
        <v>15998.33872727273</v>
      </c>
      <c r="V11" s="7">
        <f t="shared" si="130"/>
        <v>16000.591954545458</v>
      </c>
      <c r="W11" s="7">
        <f t="shared" si="130"/>
        <v>16002.845181818186</v>
      </c>
      <c r="X11" s="7">
        <f t="shared" si="130"/>
        <v>16005.098409090913</v>
      </c>
      <c r="Y11" s="7">
        <f t="shared" si="130"/>
        <v>16007.351636363641</v>
      </c>
      <c r="Z11" s="7">
        <f t="shared" ref="Z11:AA11" si="131">Y11</f>
        <v>16007.351636363641</v>
      </c>
      <c r="AA11" s="7">
        <f t="shared" si="131"/>
        <v>16007.351636363641</v>
      </c>
      <c r="AB11" s="7">
        <f t="shared" ref="AB11:AF11" si="132">AA11+$BN11</f>
        <v>16009.604863636368</v>
      </c>
      <c r="AC11" s="7">
        <f t="shared" si="132"/>
        <v>16011.858090909096</v>
      </c>
      <c r="AD11" s="7">
        <f t="shared" si="132"/>
        <v>16014.111318181824</v>
      </c>
      <c r="AE11" s="7">
        <f t="shared" si="132"/>
        <v>16016.364545454551</v>
      </c>
      <c r="AF11" s="7">
        <f t="shared" si="132"/>
        <v>16018.617772727279</v>
      </c>
      <c r="AG11" s="7">
        <f t="shared" ref="AG11:AH11" si="133">AF11</f>
        <v>16018.617772727279</v>
      </c>
      <c r="AH11" s="7">
        <f t="shared" si="133"/>
        <v>16018.617772727279</v>
      </c>
      <c r="AI11" s="7">
        <f t="shared" ref="AI11:AJ11" si="134">AH11+$BN11</f>
        <v>16020.871000000006</v>
      </c>
      <c r="AJ11" s="7">
        <f t="shared" si="134"/>
        <v>16023.124227272734</v>
      </c>
      <c r="AK11" s="7">
        <f t="shared" ref="AK11" si="135">AJ11</f>
        <v>16023.124227272734</v>
      </c>
      <c r="AL11" s="7">
        <f t="shared" ref="AL11:AM11" si="136">AK11+$BN11</f>
        <v>16025.377454545462</v>
      </c>
      <c r="AM11" s="7">
        <f t="shared" si="136"/>
        <v>16027.630681818189</v>
      </c>
      <c r="AN11" s="7">
        <f t="shared" ref="AN11:AO11" si="137">AM11</f>
        <v>16027.630681818189</v>
      </c>
      <c r="AO11" s="7">
        <f t="shared" si="137"/>
        <v>16027.630681818189</v>
      </c>
      <c r="AP11" s="7">
        <f t="shared" ref="AP11:AT11" si="138">AO11+$BN11</f>
        <v>16029.883909090917</v>
      </c>
      <c r="AQ11" s="7">
        <f t="shared" si="138"/>
        <v>16032.137136363644</v>
      </c>
      <c r="AR11" s="7">
        <f t="shared" si="138"/>
        <v>16034.390363636372</v>
      </c>
      <c r="AS11" s="7">
        <f t="shared" si="138"/>
        <v>16036.6435909091</v>
      </c>
      <c r="AT11" s="7">
        <f t="shared" si="138"/>
        <v>16038.896818181827</v>
      </c>
      <c r="AU11" s="7">
        <f t="shared" ref="AU11:AV11" si="139">AT11</f>
        <v>16038.896818181827</v>
      </c>
      <c r="AV11" s="7">
        <f t="shared" si="139"/>
        <v>16038.896818181827</v>
      </c>
      <c r="AW11" s="7">
        <f t="shared" ref="AW11:BA11" si="140">AV11+$BN11</f>
        <v>16041.150045454555</v>
      </c>
      <c r="AX11" s="7">
        <f t="shared" si="140"/>
        <v>16043.403272727282</v>
      </c>
      <c r="AY11" s="7">
        <f t="shared" si="140"/>
        <v>16045.65650000001</v>
      </c>
      <c r="AZ11" s="7">
        <f t="shared" si="140"/>
        <v>16047.909727272738</v>
      </c>
      <c r="BA11" s="7">
        <f t="shared" si="140"/>
        <v>16050.162954545465</v>
      </c>
      <c r="BB11" s="7">
        <f t="shared" ref="BB11:BC11" si="141">BA11</f>
        <v>16050.162954545465</v>
      </c>
      <c r="BC11" s="7">
        <f t="shared" si="141"/>
        <v>16050.162954545465</v>
      </c>
      <c r="BD11" s="7">
        <f t="shared" ref="BD11:BH11" si="142">BC11+$BN11</f>
        <v>16052.416181818193</v>
      </c>
      <c r="BE11" s="7">
        <f t="shared" si="142"/>
        <v>16054.66940909092</v>
      </c>
      <c r="BF11" s="7">
        <f t="shared" si="142"/>
        <v>16056.922636363648</v>
      </c>
      <c r="BG11" s="7">
        <f t="shared" si="142"/>
        <v>16059.175863636376</v>
      </c>
      <c r="BH11" s="7">
        <f t="shared" si="142"/>
        <v>16061.429090909103</v>
      </c>
      <c r="BI11" s="7">
        <f t="shared" si="32"/>
        <v>16061.429090909103</v>
      </c>
      <c r="BJ11" s="7">
        <f t="shared" si="32"/>
        <v>16061.429090909103</v>
      </c>
      <c r="BK11" s="7">
        <f t="shared" si="12"/>
        <v>16063.682318181831</v>
      </c>
      <c r="BL11" s="7">
        <v>16046.9</v>
      </c>
      <c r="BM11" s="7">
        <f t="shared" si="33"/>
        <v>99.141999999999825</v>
      </c>
      <c r="BN11" s="8">
        <f t="shared" si="34"/>
        <v>2.2532272727272686</v>
      </c>
      <c r="BO11" s="13" t="s">
        <v>1</v>
      </c>
    </row>
    <row r="12" spans="1:67" x14ac:dyDescent="0.25">
      <c r="C12" s="7"/>
      <c r="D12" s="7"/>
      <c r="I12" s="7"/>
      <c r="J12" s="7"/>
      <c r="AR12" s="7"/>
      <c r="AS12" s="7"/>
      <c r="AY12" s="7"/>
      <c r="AZ12" s="7"/>
      <c r="BJ12" s="7"/>
      <c r="BK12" s="7"/>
      <c r="BM12" s="10"/>
    </row>
    <row r="13" spans="1:67" x14ac:dyDescent="0.25">
      <c r="A13" s="11">
        <v>500</v>
      </c>
      <c r="B13" s="12">
        <f t="shared" ref="B13:BL16" si="143">ROUNDUP(B4,1)</f>
        <v>13633.9</v>
      </c>
      <c r="C13" s="12">
        <f t="shared" ref="C13:BK13" si="144">ROUNDUP(C4,1)</f>
        <v>13811.2</v>
      </c>
      <c r="D13" s="12">
        <f t="shared" si="144"/>
        <v>13822.9</v>
      </c>
      <c r="E13" s="12">
        <f t="shared" si="144"/>
        <v>13822.9</v>
      </c>
      <c r="F13" s="12">
        <f t="shared" si="144"/>
        <v>13822.9</v>
      </c>
      <c r="G13" s="12">
        <f t="shared" si="144"/>
        <v>13834.5</v>
      </c>
      <c r="H13" s="12">
        <f t="shared" si="144"/>
        <v>13846.2</v>
      </c>
      <c r="I13" s="12">
        <f t="shared" si="144"/>
        <v>13857.800000000001</v>
      </c>
      <c r="J13" s="12">
        <f t="shared" si="144"/>
        <v>13869.4</v>
      </c>
      <c r="K13" s="12">
        <f t="shared" si="144"/>
        <v>13881.1</v>
      </c>
      <c r="L13" s="12">
        <f t="shared" si="144"/>
        <v>13881.1</v>
      </c>
      <c r="M13" s="12">
        <f t="shared" si="144"/>
        <v>13881.1</v>
      </c>
      <c r="N13" s="12">
        <f t="shared" si="144"/>
        <v>13892.7</v>
      </c>
      <c r="O13" s="12">
        <f t="shared" si="144"/>
        <v>13904.300000000001</v>
      </c>
      <c r="P13" s="12">
        <f t="shared" si="144"/>
        <v>13916</v>
      </c>
      <c r="Q13" s="12">
        <f t="shared" si="144"/>
        <v>13927.6</v>
      </c>
      <c r="R13" s="12">
        <f t="shared" si="144"/>
        <v>13939.2</v>
      </c>
      <c r="S13" s="12">
        <f t="shared" si="144"/>
        <v>13939.2</v>
      </c>
      <c r="T13" s="12">
        <f t="shared" si="144"/>
        <v>13939.2</v>
      </c>
      <c r="U13" s="12">
        <f t="shared" si="144"/>
        <v>13950.9</v>
      </c>
      <c r="V13" s="12">
        <f t="shared" si="144"/>
        <v>13962.5</v>
      </c>
      <c r="W13" s="12">
        <f t="shared" si="144"/>
        <v>13974.1</v>
      </c>
      <c r="X13" s="12">
        <f t="shared" si="144"/>
        <v>13985.800000000001</v>
      </c>
      <c r="Y13" s="12">
        <f t="shared" si="144"/>
        <v>13997.4</v>
      </c>
      <c r="Z13" s="12">
        <f t="shared" si="144"/>
        <v>13997.4</v>
      </c>
      <c r="AA13" s="12">
        <f t="shared" si="144"/>
        <v>13997.4</v>
      </c>
      <c r="AB13" s="12">
        <f t="shared" si="144"/>
        <v>14009</v>
      </c>
      <c r="AC13" s="12">
        <f t="shared" si="144"/>
        <v>14020.7</v>
      </c>
      <c r="AD13" s="12">
        <f t="shared" si="144"/>
        <v>14032.300000000001</v>
      </c>
      <c r="AE13" s="12">
        <f t="shared" si="144"/>
        <v>14043.9</v>
      </c>
      <c r="AF13" s="12">
        <f t="shared" si="144"/>
        <v>14055.6</v>
      </c>
      <c r="AG13" s="12">
        <f t="shared" si="144"/>
        <v>14055.6</v>
      </c>
      <c r="AH13" s="12">
        <f t="shared" si="144"/>
        <v>14055.6</v>
      </c>
      <c r="AI13" s="12">
        <f t="shared" si="144"/>
        <v>14067.2</v>
      </c>
      <c r="AJ13" s="12">
        <f t="shared" si="144"/>
        <v>14078.800000000001</v>
      </c>
      <c r="AK13" s="12">
        <f t="shared" si="144"/>
        <v>14078.800000000001</v>
      </c>
      <c r="AL13" s="12">
        <f t="shared" si="144"/>
        <v>14090.5</v>
      </c>
      <c r="AM13" s="12">
        <f t="shared" si="144"/>
        <v>14102.1</v>
      </c>
      <c r="AN13" s="12">
        <f t="shared" si="144"/>
        <v>14102.1</v>
      </c>
      <c r="AO13" s="12">
        <f t="shared" si="144"/>
        <v>14102.1</v>
      </c>
      <c r="AP13" s="12">
        <f t="shared" si="144"/>
        <v>14113.7</v>
      </c>
      <c r="AQ13" s="12">
        <f t="shared" si="144"/>
        <v>14125.4</v>
      </c>
      <c r="AR13" s="12">
        <f t="shared" si="144"/>
        <v>14137</v>
      </c>
      <c r="AS13" s="12">
        <f t="shared" si="144"/>
        <v>14148.6</v>
      </c>
      <c r="AT13" s="12">
        <f t="shared" si="144"/>
        <v>14160.300000000001</v>
      </c>
      <c r="AU13" s="12">
        <f t="shared" si="144"/>
        <v>14160.300000000001</v>
      </c>
      <c r="AV13" s="12">
        <f t="shared" si="144"/>
        <v>14160.300000000001</v>
      </c>
      <c r="AW13" s="12">
        <f t="shared" si="144"/>
        <v>14171.9</v>
      </c>
      <c r="AX13" s="12">
        <f t="shared" si="144"/>
        <v>14183.5</v>
      </c>
      <c r="AY13" s="12">
        <f t="shared" si="144"/>
        <v>14195.2</v>
      </c>
      <c r="AZ13" s="12">
        <f t="shared" si="144"/>
        <v>14206.800000000001</v>
      </c>
      <c r="BA13" s="12">
        <f t="shared" si="144"/>
        <v>14218.4</v>
      </c>
      <c r="BB13" s="12">
        <f t="shared" si="144"/>
        <v>14218.4</v>
      </c>
      <c r="BC13" s="12">
        <f t="shared" si="144"/>
        <v>14218.4</v>
      </c>
      <c r="BD13" s="12">
        <f t="shared" si="144"/>
        <v>14230.1</v>
      </c>
      <c r="BE13" s="12">
        <f t="shared" si="144"/>
        <v>14241.7</v>
      </c>
      <c r="BF13" s="12">
        <f t="shared" si="144"/>
        <v>14253.300000000001</v>
      </c>
      <c r="BG13" s="12">
        <f t="shared" si="144"/>
        <v>14265</v>
      </c>
      <c r="BH13" s="12">
        <f t="shared" si="144"/>
        <v>14276.6</v>
      </c>
      <c r="BI13" s="12">
        <f t="shared" si="144"/>
        <v>14276.6</v>
      </c>
      <c r="BJ13" s="12">
        <f t="shared" si="144"/>
        <v>14276.6</v>
      </c>
      <c r="BK13" s="12">
        <f t="shared" si="144"/>
        <v>14288.2</v>
      </c>
      <c r="BL13" s="12">
        <f t="shared" si="143"/>
        <v>14145.7</v>
      </c>
    </row>
    <row r="14" spans="1:67" x14ac:dyDescent="0.25">
      <c r="A14" s="11">
        <v>165</v>
      </c>
      <c r="B14" s="12">
        <f t="shared" si="143"/>
        <v>18701.8</v>
      </c>
      <c r="C14" s="12">
        <f t="shared" ref="C14:BK14" si="145">ROUNDUP(C5,1)</f>
        <v>18926.3</v>
      </c>
      <c r="D14" s="12">
        <f t="shared" si="145"/>
        <v>18943.3</v>
      </c>
      <c r="E14" s="12">
        <f t="shared" si="145"/>
        <v>18943.3</v>
      </c>
      <c r="F14" s="12">
        <f t="shared" si="145"/>
        <v>18943.3</v>
      </c>
      <c r="G14" s="12">
        <f t="shared" si="145"/>
        <v>18960.199999999997</v>
      </c>
      <c r="H14" s="12">
        <f t="shared" si="145"/>
        <v>18977.099999999999</v>
      </c>
      <c r="I14" s="12">
        <f t="shared" si="145"/>
        <v>18994</v>
      </c>
      <c r="J14" s="12">
        <f t="shared" si="145"/>
        <v>19010.899999999998</v>
      </c>
      <c r="K14" s="12">
        <f t="shared" si="145"/>
        <v>19027.8</v>
      </c>
      <c r="L14" s="12">
        <f t="shared" si="145"/>
        <v>19027.8</v>
      </c>
      <c r="M14" s="12">
        <f t="shared" si="145"/>
        <v>19027.8</v>
      </c>
      <c r="N14" s="12">
        <f t="shared" si="145"/>
        <v>19044.699999999997</v>
      </c>
      <c r="O14" s="12">
        <f t="shared" si="145"/>
        <v>19061.599999999999</v>
      </c>
      <c r="P14" s="12">
        <f t="shared" si="145"/>
        <v>19078.599999999999</v>
      </c>
      <c r="Q14" s="12">
        <f t="shared" si="145"/>
        <v>19095.5</v>
      </c>
      <c r="R14" s="12">
        <f t="shared" si="145"/>
        <v>19112.399999999998</v>
      </c>
      <c r="S14" s="12">
        <f t="shared" si="145"/>
        <v>19112.399999999998</v>
      </c>
      <c r="T14" s="12">
        <f t="shared" si="145"/>
        <v>19112.399999999998</v>
      </c>
      <c r="U14" s="12">
        <f t="shared" si="145"/>
        <v>19129.3</v>
      </c>
      <c r="V14" s="12">
        <f t="shared" si="145"/>
        <v>19146.199999999997</v>
      </c>
      <c r="W14" s="12">
        <f t="shared" si="145"/>
        <v>19163.099999999999</v>
      </c>
      <c r="X14" s="12">
        <f t="shared" si="145"/>
        <v>19180</v>
      </c>
      <c r="Y14" s="12">
        <f t="shared" si="145"/>
        <v>19196.900000000001</v>
      </c>
      <c r="Z14" s="12">
        <f t="shared" si="145"/>
        <v>19196.900000000001</v>
      </c>
      <c r="AA14" s="12">
        <f t="shared" si="145"/>
        <v>19196.900000000001</v>
      </c>
      <c r="AB14" s="12">
        <f t="shared" si="145"/>
        <v>19213.899999999998</v>
      </c>
      <c r="AC14" s="12">
        <f t="shared" si="145"/>
        <v>19230.8</v>
      </c>
      <c r="AD14" s="12">
        <f t="shared" si="145"/>
        <v>19247.699999999997</v>
      </c>
      <c r="AE14" s="12">
        <f t="shared" si="145"/>
        <v>19264.599999999999</v>
      </c>
      <c r="AF14" s="12">
        <f t="shared" si="145"/>
        <v>19281.5</v>
      </c>
      <c r="AG14" s="12">
        <f t="shared" si="145"/>
        <v>19281.5</v>
      </c>
      <c r="AH14" s="12">
        <f t="shared" si="145"/>
        <v>19281.5</v>
      </c>
      <c r="AI14" s="12">
        <f t="shared" si="145"/>
        <v>19298.399999999998</v>
      </c>
      <c r="AJ14" s="12">
        <f t="shared" si="145"/>
        <v>19315.3</v>
      </c>
      <c r="AK14" s="12">
        <f t="shared" si="145"/>
        <v>19315.3</v>
      </c>
      <c r="AL14" s="12">
        <f t="shared" si="145"/>
        <v>19332.2</v>
      </c>
      <c r="AM14" s="12">
        <f t="shared" si="145"/>
        <v>19349.199999999997</v>
      </c>
      <c r="AN14" s="12">
        <f t="shared" si="145"/>
        <v>19349.199999999997</v>
      </c>
      <c r="AO14" s="12">
        <f t="shared" si="145"/>
        <v>19349.199999999997</v>
      </c>
      <c r="AP14" s="12">
        <f t="shared" si="145"/>
        <v>19366.099999999999</v>
      </c>
      <c r="AQ14" s="12">
        <f t="shared" si="145"/>
        <v>19383</v>
      </c>
      <c r="AR14" s="12">
        <f t="shared" si="145"/>
        <v>19399.899999999998</v>
      </c>
      <c r="AS14" s="12">
        <f t="shared" si="145"/>
        <v>19416.8</v>
      </c>
      <c r="AT14" s="12">
        <f t="shared" si="145"/>
        <v>19433.699999999997</v>
      </c>
      <c r="AU14" s="12">
        <f t="shared" si="145"/>
        <v>19433.699999999997</v>
      </c>
      <c r="AV14" s="12">
        <f t="shared" si="145"/>
        <v>19433.699999999997</v>
      </c>
      <c r="AW14" s="12">
        <f t="shared" si="145"/>
        <v>19450.599999999999</v>
      </c>
      <c r="AX14" s="12">
        <f t="shared" si="145"/>
        <v>19467.5</v>
      </c>
      <c r="AY14" s="12">
        <f t="shared" si="145"/>
        <v>19484.5</v>
      </c>
      <c r="AZ14" s="12">
        <f t="shared" si="145"/>
        <v>19501.399999999998</v>
      </c>
      <c r="BA14" s="12">
        <f t="shared" si="145"/>
        <v>19518.3</v>
      </c>
      <c r="BB14" s="12">
        <f t="shared" si="145"/>
        <v>19518.3</v>
      </c>
      <c r="BC14" s="12">
        <f t="shared" si="145"/>
        <v>19518.3</v>
      </c>
      <c r="BD14" s="12">
        <f t="shared" si="145"/>
        <v>19535.199999999997</v>
      </c>
      <c r="BE14" s="12">
        <f t="shared" si="145"/>
        <v>19552.099999999999</v>
      </c>
      <c r="BF14" s="12">
        <f t="shared" si="145"/>
        <v>19569</v>
      </c>
      <c r="BG14" s="12">
        <f t="shared" si="145"/>
        <v>19585.899999999998</v>
      </c>
      <c r="BH14" s="12">
        <f t="shared" si="145"/>
        <v>19602.8</v>
      </c>
      <c r="BI14" s="12">
        <f t="shared" si="145"/>
        <v>19602.8</v>
      </c>
      <c r="BJ14" s="12">
        <f t="shared" si="145"/>
        <v>19602.8</v>
      </c>
      <c r="BK14" s="12">
        <f t="shared" si="145"/>
        <v>19619.8</v>
      </c>
      <c r="BL14" s="12">
        <f t="shared" si="143"/>
        <v>19445.900000000001</v>
      </c>
    </row>
    <row r="15" spans="1:67" x14ac:dyDescent="0.25">
      <c r="A15" s="11">
        <v>300</v>
      </c>
      <c r="B15" s="12">
        <f t="shared" si="143"/>
        <v>668.30000000000007</v>
      </c>
      <c r="C15" s="12">
        <f t="shared" ref="C15:BK15" si="146">ROUNDUP(C6,1)</f>
        <v>671</v>
      </c>
      <c r="D15" s="12">
        <f t="shared" si="146"/>
        <v>671.30000000000007</v>
      </c>
      <c r="E15" s="12">
        <f t="shared" si="146"/>
        <v>671.30000000000007</v>
      </c>
      <c r="F15" s="12">
        <f t="shared" si="146"/>
        <v>671.30000000000007</v>
      </c>
      <c r="G15" s="12">
        <f t="shared" si="146"/>
        <v>671.5</v>
      </c>
      <c r="H15" s="12">
        <f t="shared" si="146"/>
        <v>671.7</v>
      </c>
      <c r="I15" s="12">
        <f t="shared" si="146"/>
        <v>671.9</v>
      </c>
      <c r="J15" s="12">
        <f t="shared" si="146"/>
        <v>672.2</v>
      </c>
      <c r="K15" s="12">
        <f t="shared" si="146"/>
        <v>672.4</v>
      </c>
      <c r="L15" s="12">
        <f t="shared" si="146"/>
        <v>672.4</v>
      </c>
      <c r="M15" s="12">
        <f t="shared" si="146"/>
        <v>672.4</v>
      </c>
      <c r="N15" s="12">
        <f t="shared" si="146"/>
        <v>672.6</v>
      </c>
      <c r="O15" s="12">
        <f t="shared" si="146"/>
        <v>672.80000000000007</v>
      </c>
      <c r="P15" s="12">
        <f t="shared" si="146"/>
        <v>673</v>
      </c>
      <c r="Q15" s="12">
        <f t="shared" si="146"/>
        <v>673.30000000000007</v>
      </c>
      <c r="R15" s="12">
        <f t="shared" si="146"/>
        <v>673.5</v>
      </c>
      <c r="S15" s="12">
        <f t="shared" si="146"/>
        <v>673.5</v>
      </c>
      <c r="T15" s="12">
        <f t="shared" si="146"/>
        <v>673.5</v>
      </c>
      <c r="U15" s="12">
        <f t="shared" si="146"/>
        <v>673.7</v>
      </c>
      <c r="V15" s="12">
        <f t="shared" si="146"/>
        <v>673.9</v>
      </c>
      <c r="W15" s="12">
        <f t="shared" si="146"/>
        <v>674.2</v>
      </c>
      <c r="X15" s="12">
        <f t="shared" si="146"/>
        <v>674.4</v>
      </c>
      <c r="Y15" s="12">
        <f t="shared" si="146"/>
        <v>674.6</v>
      </c>
      <c r="Z15" s="12">
        <f t="shared" si="146"/>
        <v>674.6</v>
      </c>
      <c r="AA15" s="12">
        <f t="shared" si="146"/>
        <v>674.6</v>
      </c>
      <c r="AB15" s="12">
        <f t="shared" si="146"/>
        <v>674.80000000000007</v>
      </c>
      <c r="AC15" s="12">
        <f t="shared" si="146"/>
        <v>675</v>
      </c>
      <c r="AD15" s="12">
        <f t="shared" si="146"/>
        <v>675.30000000000007</v>
      </c>
      <c r="AE15" s="12">
        <f t="shared" si="146"/>
        <v>675.5</v>
      </c>
      <c r="AF15" s="12">
        <f t="shared" si="146"/>
        <v>675.7</v>
      </c>
      <c r="AG15" s="12">
        <f t="shared" si="146"/>
        <v>675.7</v>
      </c>
      <c r="AH15" s="12">
        <f t="shared" si="146"/>
        <v>675.7</v>
      </c>
      <c r="AI15" s="12">
        <f t="shared" si="146"/>
        <v>675.9</v>
      </c>
      <c r="AJ15" s="12">
        <f t="shared" si="146"/>
        <v>676.1</v>
      </c>
      <c r="AK15" s="12">
        <f t="shared" si="146"/>
        <v>676.1</v>
      </c>
      <c r="AL15" s="12">
        <f t="shared" si="146"/>
        <v>676.4</v>
      </c>
      <c r="AM15" s="12">
        <f t="shared" si="146"/>
        <v>676.6</v>
      </c>
      <c r="AN15" s="12">
        <f t="shared" si="146"/>
        <v>676.6</v>
      </c>
      <c r="AO15" s="12">
        <f t="shared" si="146"/>
        <v>676.6</v>
      </c>
      <c r="AP15" s="12">
        <f t="shared" si="146"/>
        <v>676.80000000000007</v>
      </c>
      <c r="AQ15" s="12">
        <f t="shared" si="146"/>
        <v>677</v>
      </c>
      <c r="AR15" s="12">
        <f t="shared" si="146"/>
        <v>677.30000000000007</v>
      </c>
      <c r="AS15" s="12">
        <f t="shared" si="146"/>
        <v>677.5</v>
      </c>
      <c r="AT15" s="12">
        <f t="shared" si="146"/>
        <v>677.7</v>
      </c>
      <c r="AU15" s="12">
        <f t="shared" si="146"/>
        <v>677.7</v>
      </c>
      <c r="AV15" s="12">
        <f t="shared" si="146"/>
        <v>677.7</v>
      </c>
      <c r="AW15" s="12">
        <f t="shared" si="146"/>
        <v>677.9</v>
      </c>
      <c r="AX15" s="12">
        <f t="shared" si="146"/>
        <v>678.1</v>
      </c>
      <c r="AY15" s="12">
        <f t="shared" si="146"/>
        <v>678.4</v>
      </c>
      <c r="AZ15" s="12">
        <f t="shared" si="146"/>
        <v>678.6</v>
      </c>
      <c r="BA15" s="12">
        <f t="shared" si="146"/>
        <v>678.80000000000007</v>
      </c>
      <c r="BB15" s="12">
        <f t="shared" si="146"/>
        <v>678.80000000000007</v>
      </c>
      <c r="BC15" s="12">
        <f t="shared" si="146"/>
        <v>678.80000000000007</v>
      </c>
      <c r="BD15" s="12">
        <f t="shared" si="146"/>
        <v>679</v>
      </c>
      <c r="BE15" s="12">
        <f t="shared" si="146"/>
        <v>679.2</v>
      </c>
      <c r="BF15" s="12">
        <f t="shared" si="146"/>
        <v>679.5</v>
      </c>
      <c r="BG15" s="12">
        <f t="shared" si="146"/>
        <v>679.7</v>
      </c>
      <c r="BH15" s="12">
        <f t="shared" si="146"/>
        <v>679.9</v>
      </c>
      <c r="BI15" s="12">
        <f t="shared" si="146"/>
        <v>679.9</v>
      </c>
      <c r="BJ15" s="12">
        <f t="shared" si="146"/>
        <v>679.9</v>
      </c>
      <c r="BK15" s="12">
        <f t="shared" si="146"/>
        <v>680.1</v>
      </c>
      <c r="BL15" s="12">
        <f t="shared" si="143"/>
        <v>678</v>
      </c>
    </row>
    <row r="16" spans="1:67" x14ac:dyDescent="0.25">
      <c r="A16" s="11">
        <v>120</v>
      </c>
      <c r="B16" s="12">
        <f t="shared" si="143"/>
        <v>25970</v>
      </c>
      <c r="C16" s="12">
        <f t="shared" ref="C16:BK16" si="147">ROUNDUP(C7,1)</f>
        <v>26396.2</v>
      </c>
      <c r="D16" s="12">
        <f t="shared" si="147"/>
        <v>26427.5</v>
      </c>
      <c r="E16" s="12">
        <f t="shared" si="147"/>
        <v>26427.5</v>
      </c>
      <c r="F16" s="12">
        <f t="shared" si="147"/>
        <v>26427.5</v>
      </c>
      <c r="G16" s="12">
        <f t="shared" si="147"/>
        <v>26458.799999999999</v>
      </c>
      <c r="H16" s="12">
        <f t="shared" si="147"/>
        <v>26490.1</v>
      </c>
      <c r="I16" s="12">
        <f t="shared" si="147"/>
        <v>26521.399999999998</v>
      </c>
      <c r="J16" s="12">
        <f t="shared" si="147"/>
        <v>26552.699999999997</v>
      </c>
      <c r="K16" s="12">
        <f t="shared" si="147"/>
        <v>26583.899999999998</v>
      </c>
      <c r="L16" s="12">
        <f t="shared" si="147"/>
        <v>26583.899999999998</v>
      </c>
      <c r="M16" s="12">
        <f t="shared" si="147"/>
        <v>26583.899999999998</v>
      </c>
      <c r="N16" s="12">
        <f t="shared" si="147"/>
        <v>26615.199999999997</v>
      </c>
      <c r="O16" s="12">
        <f t="shared" si="147"/>
        <v>26646.5</v>
      </c>
      <c r="P16" s="12">
        <f t="shared" si="147"/>
        <v>26677.8</v>
      </c>
      <c r="Q16" s="12">
        <f t="shared" si="147"/>
        <v>26709.1</v>
      </c>
      <c r="R16" s="12">
        <f t="shared" si="147"/>
        <v>26740.399999999998</v>
      </c>
      <c r="S16" s="12">
        <f t="shared" si="147"/>
        <v>26740.399999999998</v>
      </c>
      <c r="T16" s="12">
        <f t="shared" si="147"/>
        <v>26740.399999999998</v>
      </c>
      <c r="U16" s="12">
        <f t="shared" si="147"/>
        <v>26771.599999999999</v>
      </c>
      <c r="V16" s="12">
        <f t="shared" si="147"/>
        <v>26802.899999999998</v>
      </c>
      <c r="W16" s="12">
        <f t="shared" si="147"/>
        <v>26834.199999999997</v>
      </c>
      <c r="X16" s="12">
        <f t="shared" si="147"/>
        <v>26865.5</v>
      </c>
      <c r="Y16" s="12">
        <f t="shared" si="147"/>
        <v>26896.799999999999</v>
      </c>
      <c r="Z16" s="12">
        <f t="shared" si="147"/>
        <v>26896.799999999999</v>
      </c>
      <c r="AA16" s="12">
        <f t="shared" si="147"/>
        <v>26896.799999999999</v>
      </c>
      <c r="AB16" s="12">
        <f t="shared" si="147"/>
        <v>26928.1</v>
      </c>
      <c r="AC16" s="12">
        <f t="shared" si="147"/>
        <v>26959.3</v>
      </c>
      <c r="AD16" s="12">
        <f t="shared" si="147"/>
        <v>26990.6</v>
      </c>
      <c r="AE16" s="12">
        <f t="shared" si="147"/>
        <v>27021.899999999998</v>
      </c>
      <c r="AF16" s="12">
        <f t="shared" si="147"/>
        <v>27053.199999999997</v>
      </c>
      <c r="AG16" s="12">
        <f t="shared" si="147"/>
        <v>27053.199999999997</v>
      </c>
      <c r="AH16" s="12">
        <f t="shared" si="147"/>
        <v>27053.199999999997</v>
      </c>
      <c r="AI16" s="12">
        <f t="shared" si="147"/>
        <v>27084.5</v>
      </c>
      <c r="AJ16" s="12">
        <f t="shared" si="147"/>
        <v>27115.699999999997</v>
      </c>
      <c r="AK16" s="12">
        <f t="shared" si="147"/>
        <v>27115.699999999997</v>
      </c>
      <c r="AL16" s="12">
        <f t="shared" si="147"/>
        <v>27147</v>
      </c>
      <c r="AM16" s="12">
        <f t="shared" si="147"/>
        <v>27178.3</v>
      </c>
      <c r="AN16" s="12">
        <f t="shared" si="147"/>
        <v>27178.3</v>
      </c>
      <c r="AO16" s="12">
        <f t="shared" si="147"/>
        <v>27178.3</v>
      </c>
      <c r="AP16" s="12">
        <f t="shared" si="147"/>
        <v>27209.599999999999</v>
      </c>
      <c r="AQ16" s="12">
        <f t="shared" si="147"/>
        <v>27240.899999999998</v>
      </c>
      <c r="AR16" s="12">
        <f t="shared" si="147"/>
        <v>27272.199999999997</v>
      </c>
      <c r="AS16" s="12">
        <f t="shared" si="147"/>
        <v>27303.399999999998</v>
      </c>
      <c r="AT16" s="12">
        <f t="shared" si="147"/>
        <v>27334.699999999997</v>
      </c>
      <c r="AU16" s="12">
        <f t="shared" si="147"/>
        <v>27334.699999999997</v>
      </c>
      <c r="AV16" s="12">
        <f t="shared" si="147"/>
        <v>27334.699999999997</v>
      </c>
      <c r="AW16" s="12">
        <f t="shared" si="147"/>
        <v>27366</v>
      </c>
      <c r="AX16" s="12">
        <f t="shared" si="147"/>
        <v>27397.3</v>
      </c>
      <c r="AY16" s="12">
        <f t="shared" si="147"/>
        <v>27428.6</v>
      </c>
      <c r="AZ16" s="12">
        <f t="shared" si="147"/>
        <v>27459.899999999998</v>
      </c>
      <c r="BA16" s="12">
        <f t="shared" si="147"/>
        <v>27491.1</v>
      </c>
      <c r="BB16" s="12">
        <f t="shared" si="147"/>
        <v>27491.1</v>
      </c>
      <c r="BC16" s="12">
        <f t="shared" si="147"/>
        <v>27491.1</v>
      </c>
      <c r="BD16" s="12">
        <f t="shared" si="147"/>
        <v>27522.399999999998</v>
      </c>
      <c r="BE16" s="12">
        <f t="shared" si="147"/>
        <v>27553.699999999997</v>
      </c>
      <c r="BF16" s="12">
        <f t="shared" si="147"/>
        <v>27585</v>
      </c>
      <c r="BG16" s="12">
        <f t="shared" si="147"/>
        <v>27616.3</v>
      </c>
      <c r="BH16" s="12">
        <f t="shared" si="147"/>
        <v>27647.599999999999</v>
      </c>
      <c r="BI16" s="12">
        <f t="shared" si="147"/>
        <v>27647.599999999999</v>
      </c>
      <c r="BJ16" s="12">
        <f t="shared" si="147"/>
        <v>27647.599999999999</v>
      </c>
      <c r="BK16" s="12">
        <f t="shared" si="147"/>
        <v>27678.799999999999</v>
      </c>
      <c r="BL16" s="12">
        <f t="shared" si="143"/>
        <v>27346.5</v>
      </c>
    </row>
    <row r="17" spans="1:64" x14ac:dyDescent="0.25">
      <c r="A17" s="11">
        <v>50</v>
      </c>
      <c r="B17" s="12">
        <f t="shared" ref="B17:BL20" si="148">ROUNDUP(B8,1)</f>
        <v>3951.6</v>
      </c>
      <c r="C17" s="12">
        <f t="shared" ref="C17:BK17" si="149">ROUNDUP(C8,1)</f>
        <v>3968</v>
      </c>
      <c r="D17" s="12">
        <f t="shared" si="149"/>
        <v>3969.2999999999997</v>
      </c>
      <c r="E17" s="12">
        <f t="shared" si="149"/>
        <v>3969.2999999999997</v>
      </c>
      <c r="F17" s="12">
        <f t="shared" si="149"/>
        <v>3969.2999999999997</v>
      </c>
      <c r="G17" s="12">
        <f t="shared" si="149"/>
        <v>3970.5</v>
      </c>
      <c r="H17" s="12">
        <f t="shared" si="149"/>
        <v>3971.7</v>
      </c>
      <c r="I17" s="12">
        <f t="shared" si="149"/>
        <v>3972.9</v>
      </c>
      <c r="J17" s="12">
        <f t="shared" si="149"/>
        <v>3974.1</v>
      </c>
      <c r="K17" s="12">
        <f t="shared" si="149"/>
        <v>3975.2999999999997</v>
      </c>
      <c r="L17" s="12">
        <f t="shared" si="149"/>
        <v>3975.2999999999997</v>
      </c>
      <c r="M17" s="12">
        <f t="shared" si="149"/>
        <v>3975.2999999999997</v>
      </c>
      <c r="N17" s="12">
        <f t="shared" si="149"/>
        <v>3976.5</v>
      </c>
      <c r="O17" s="12">
        <f t="shared" si="149"/>
        <v>3977.7999999999997</v>
      </c>
      <c r="P17" s="12">
        <f t="shared" si="149"/>
        <v>3979</v>
      </c>
      <c r="Q17" s="12">
        <f t="shared" si="149"/>
        <v>3980.2</v>
      </c>
      <c r="R17" s="12">
        <f t="shared" si="149"/>
        <v>3981.4</v>
      </c>
      <c r="S17" s="12">
        <f t="shared" si="149"/>
        <v>3981.4</v>
      </c>
      <c r="T17" s="12">
        <f t="shared" si="149"/>
        <v>3981.4</v>
      </c>
      <c r="U17" s="12">
        <f t="shared" si="149"/>
        <v>3982.6</v>
      </c>
      <c r="V17" s="12">
        <f t="shared" si="149"/>
        <v>3983.7999999999997</v>
      </c>
      <c r="W17" s="12">
        <f t="shared" si="149"/>
        <v>3985</v>
      </c>
      <c r="X17" s="12">
        <f t="shared" si="149"/>
        <v>3986.2999999999997</v>
      </c>
      <c r="Y17" s="12">
        <f t="shared" si="149"/>
        <v>3987.5</v>
      </c>
      <c r="Z17" s="12">
        <f t="shared" si="149"/>
        <v>3987.5</v>
      </c>
      <c r="AA17" s="12">
        <f t="shared" si="149"/>
        <v>3987.5</v>
      </c>
      <c r="AB17" s="12">
        <f t="shared" si="149"/>
        <v>3988.7</v>
      </c>
      <c r="AC17" s="12">
        <f t="shared" si="149"/>
        <v>3989.9</v>
      </c>
      <c r="AD17" s="12">
        <f t="shared" si="149"/>
        <v>3991.1</v>
      </c>
      <c r="AE17" s="12">
        <f t="shared" si="149"/>
        <v>3992.2999999999997</v>
      </c>
      <c r="AF17" s="12">
        <f t="shared" si="149"/>
        <v>3993.5</v>
      </c>
      <c r="AG17" s="12">
        <f t="shared" si="149"/>
        <v>3993.5</v>
      </c>
      <c r="AH17" s="12">
        <f t="shared" si="149"/>
        <v>3993.5</v>
      </c>
      <c r="AI17" s="12">
        <f t="shared" si="149"/>
        <v>3994.7999999999997</v>
      </c>
      <c r="AJ17" s="12">
        <f t="shared" si="149"/>
        <v>3996</v>
      </c>
      <c r="AK17" s="12">
        <f t="shared" si="149"/>
        <v>3996</v>
      </c>
      <c r="AL17" s="12">
        <f t="shared" si="149"/>
        <v>3997.2</v>
      </c>
      <c r="AM17" s="12">
        <f t="shared" si="149"/>
        <v>3998.4</v>
      </c>
      <c r="AN17" s="12">
        <f t="shared" si="149"/>
        <v>3998.4</v>
      </c>
      <c r="AO17" s="12">
        <f t="shared" si="149"/>
        <v>3998.4</v>
      </c>
      <c r="AP17" s="12">
        <f t="shared" si="149"/>
        <v>3999.6</v>
      </c>
      <c r="AQ17" s="12">
        <f t="shared" si="149"/>
        <v>4000.7999999999997</v>
      </c>
      <c r="AR17" s="12">
        <f t="shared" si="149"/>
        <v>4002</v>
      </c>
      <c r="AS17" s="12">
        <f t="shared" si="149"/>
        <v>4003.2999999999997</v>
      </c>
      <c r="AT17" s="12">
        <f t="shared" si="149"/>
        <v>4004.5</v>
      </c>
      <c r="AU17" s="12">
        <f t="shared" si="149"/>
        <v>4004.5</v>
      </c>
      <c r="AV17" s="12">
        <f t="shared" si="149"/>
        <v>4004.5</v>
      </c>
      <c r="AW17" s="12">
        <f t="shared" si="149"/>
        <v>4005.7</v>
      </c>
      <c r="AX17" s="12">
        <f t="shared" si="149"/>
        <v>4006.9</v>
      </c>
      <c r="AY17" s="12">
        <f t="shared" si="149"/>
        <v>4008.1</v>
      </c>
      <c r="AZ17" s="12">
        <f t="shared" si="149"/>
        <v>4009.2999999999997</v>
      </c>
      <c r="BA17" s="12">
        <f t="shared" si="149"/>
        <v>4010.5</v>
      </c>
      <c r="BB17" s="12">
        <f t="shared" si="149"/>
        <v>4010.5</v>
      </c>
      <c r="BC17" s="12">
        <f t="shared" si="149"/>
        <v>4010.5</v>
      </c>
      <c r="BD17" s="12">
        <f t="shared" si="149"/>
        <v>4011.7999999999997</v>
      </c>
      <c r="BE17" s="12">
        <f t="shared" si="149"/>
        <v>4013</v>
      </c>
      <c r="BF17" s="12">
        <f t="shared" si="149"/>
        <v>4014.2</v>
      </c>
      <c r="BG17" s="12">
        <f t="shared" si="149"/>
        <v>4015.4</v>
      </c>
      <c r="BH17" s="12">
        <f t="shared" si="149"/>
        <v>4016.6</v>
      </c>
      <c r="BI17" s="12">
        <f t="shared" si="149"/>
        <v>4016.6</v>
      </c>
      <c r="BJ17" s="12">
        <f t="shared" si="149"/>
        <v>4016.6</v>
      </c>
      <c r="BK17" s="12">
        <f t="shared" si="149"/>
        <v>4017.7999999999997</v>
      </c>
      <c r="BL17" s="12">
        <f t="shared" si="148"/>
        <v>4005</v>
      </c>
    </row>
    <row r="18" spans="1:64" x14ac:dyDescent="0.25">
      <c r="A18" s="11">
        <v>250</v>
      </c>
      <c r="B18" s="12">
        <f t="shared" si="148"/>
        <v>11321.2</v>
      </c>
      <c r="C18" s="12">
        <f t="shared" ref="C18:BK18" si="150">ROUNDUP(C9,1)</f>
        <v>11488.2</v>
      </c>
      <c r="D18" s="12">
        <f t="shared" si="150"/>
        <v>11500</v>
      </c>
      <c r="E18" s="12">
        <f t="shared" si="150"/>
        <v>11500</v>
      </c>
      <c r="F18" s="12">
        <f t="shared" si="150"/>
        <v>11500</v>
      </c>
      <c r="G18" s="12">
        <f t="shared" si="150"/>
        <v>11511.800000000001</v>
      </c>
      <c r="H18" s="12">
        <f t="shared" si="150"/>
        <v>11523.6</v>
      </c>
      <c r="I18" s="12">
        <f t="shared" si="150"/>
        <v>11535.4</v>
      </c>
      <c r="J18" s="12">
        <f t="shared" si="150"/>
        <v>11547.2</v>
      </c>
      <c r="K18" s="12">
        <f t="shared" si="150"/>
        <v>11559</v>
      </c>
      <c r="L18" s="12">
        <f t="shared" si="150"/>
        <v>11559</v>
      </c>
      <c r="M18" s="12">
        <f t="shared" si="150"/>
        <v>11559</v>
      </c>
      <c r="N18" s="12">
        <f t="shared" si="150"/>
        <v>11570.800000000001</v>
      </c>
      <c r="O18" s="12">
        <f t="shared" si="150"/>
        <v>11582.6</v>
      </c>
      <c r="P18" s="12">
        <f t="shared" si="150"/>
        <v>11594.4</v>
      </c>
      <c r="Q18" s="12">
        <f t="shared" si="150"/>
        <v>11606.2</v>
      </c>
      <c r="R18" s="12">
        <f t="shared" si="150"/>
        <v>11618</v>
      </c>
      <c r="S18" s="12">
        <f t="shared" si="150"/>
        <v>11618</v>
      </c>
      <c r="T18" s="12">
        <f t="shared" si="150"/>
        <v>11618</v>
      </c>
      <c r="U18" s="12">
        <f t="shared" si="150"/>
        <v>11629.800000000001</v>
      </c>
      <c r="V18" s="12">
        <f t="shared" si="150"/>
        <v>11641.6</v>
      </c>
      <c r="W18" s="12">
        <f t="shared" si="150"/>
        <v>11653.4</v>
      </c>
      <c r="X18" s="12">
        <f t="shared" si="150"/>
        <v>11665.2</v>
      </c>
      <c r="Y18" s="12">
        <f t="shared" si="150"/>
        <v>11677</v>
      </c>
      <c r="Z18" s="12">
        <f t="shared" si="150"/>
        <v>11677</v>
      </c>
      <c r="AA18" s="12">
        <f t="shared" si="150"/>
        <v>11677</v>
      </c>
      <c r="AB18" s="12">
        <f t="shared" si="150"/>
        <v>11688.800000000001</v>
      </c>
      <c r="AC18" s="12">
        <f t="shared" si="150"/>
        <v>11700.6</v>
      </c>
      <c r="AD18" s="12">
        <f t="shared" si="150"/>
        <v>11712.4</v>
      </c>
      <c r="AE18" s="12">
        <f t="shared" si="150"/>
        <v>11724.2</v>
      </c>
      <c r="AF18" s="12">
        <f t="shared" si="150"/>
        <v>11736</v>
      </c>
      <c r="AG18" s="12">
        <f t="shared" si="150"/>
        <v>11736</v>
      </c>
      <c r="AH18" s="12">
        <f t="shared" si="150"/>
        <v>11736</v>
      </c>
      <c r="AI18" s="12">
        <f t="shared" si="150"/>
        <v>11747.800000000001</v>
      </c>
      <c r="AJ18" s="12">
        <f t="shared" si="150"/>
        <v>11759.6</v>
      </c>
      <c r="AK18" s="12">
        <f t="shared" si="150"/>
        <v>11759.6</v>
      </c>
      <c r="AL18" s="12">
        <f t="shared" si="150"/>
        <v>11771.4</v>
      </c>
      <c r="AM18" s="12">
        <f t="shared" si="150"/>
        <v>11783.2</v>
      </c>
      <c r="AN18" s="12">
        <f t="shared" si="150"/>
        <v>11783.2</v>
      </c>
      <c r="AO18" s="12">
        <f t="shared" si="150"/>
        <v>11783.2</v>
      </c>
      <c r="AP18" s="12">
        <f t="shared" si="150"/>
        <v>11795</v>
      </c>
      <c r="AQ18" s="12">
        <f t="shared" si="150"/>
        <v>11806.800000000001</v>
      </c>
      <c r="AR18" s="12">
        <f t="shared" si="150"/>
        <v>11818.6</v>
      </c>
      <c r="AS18" s="12">
        <f t="shared" si="150"/>
        <v>11830.300000000001</v>
      </c>
      <c r="AT18" s="12">
        <f t="shared" si="150"/>
        <v>11842.1</v>
      </c>
      <c r="AU18" s="12">
        <f t="shared" si="150"/>
        <v>11842.1</v>
      </c>
      <c r="AV18" s="12">
        <f t="shared" si="150"/>
        <v>11842.1</v>
      </c>
      <c r="AW18" s="12">
        <f t="shared" si="150"/>
        <v>11853.9</v>
      </c>
      <c r="AX18" s="12">
        <f t="shared" si="150"/>
        <v>11865.7</v>
      </c>
      <c r="AY18" s="12">
        <f t="shared" si="150"/>
        <v>11877.5</v>
      </c>
      <c r="AZ18" s="12">
        <f t="shared" si="150"/>
        <v>11889.300000000001</v>
      </c>
      <c r="BA18" s="12">
        <f t="shared" si="150"/>
        <v>11901.1</v>
      </c>
      <c r="BB18" s="12">
        <f t="shared" si="150"/>
        <v>11901.1</v>
      </c>
      <c r="BC18" s="12">
        <f t="shared" si="150"/>
        <v>11901.1</v>
      </c>
      <c r="BD18" s="12">
        <f t="shared" si="150"/>
        <v>11912.9</v>
      </c>
      <c r="BE18" s="12">
        <f t="shared" si="150"/>
        <v>11924.7</v>
      </c>
      <c r="BF18" s="12">
        <f t="shared" si="150"/>
        <v>11936.5</v>
      </c>
      <c r="BG18" s="12">
        <f t="shared" si="150"/>
        <v>11948.300000000001</v>
      </c>
      <c r="BH18" s="12">
        <f t="shared" si="150"/>
        <v>11960.1</v>
      </c>
      <c r="BI18" s="12">
        <f t="shared" si="150"/>
        <v>11960.1</v>
      </c>
      <c r="BJ18" s="12">
        <f t="shared" si="150"/>
        <v>11960.1</v>
      </c>
      <c r="BK18" s="12">
        <f t="shared" si="150"/>
        <v>11971.9</v>
      </c>
      <c r="BL18" s="12">
        <f t="shared" si="148"/>
        <v>11840.2</v>
      </c>
    </row>
    <row r="19" spans="1:64" x14ac:dyDescent="0.25">
      <c r="A19" s="11" t="s">
        <v>2</v>
      </c>
      <c r="B19" s="12">
        <f t="shared" si="148"/>
        <v>12199.4</v>
      </c>
      <c r="C19" s="12">
        <f t="shared" ref="C19:BK19" si="151">ROUNDUP(C10,1)</f>
        <v>12291.8</v>
      </c>
      <c r="D19" s="12">
        <f t="shared" si="151"/>
        <v>12299</v>
      </c>
      <c r="E19" s="12">
        <f t="shared" si="151"/>
        <v>12299</v>
      </c>
      <c r="F19" s="12">
        <f t="shared" si="151"/>
        <v>12299</v>
      </c>
      <c r="G19" s="12">
        <f t="shared" si="151"/>
        <v>12306.1</v>
      </c>
      <c r="H19" s="12">
        <f t="shared" si="151"/>
        <v>12313.2</v>
      </c>
      <c r="I19" s="12">
        <f t="shared" si="151"/>
        <v>12320.300000000001</v>
      </c>
      <c r="J19" s="12">
        <f t="shared" si="151"/>
        <v>12327.4</v>
      </c>
      <c r="K19" s="12">
        <f t="shared" si="151"/>
        <v>12334.5</v>
      </c>
      <c r="L19" s="12">
        <f t="shared" si="151"/>
        <v>12334.5</v>
      </c>
      <c r="M19" s="12">
        <f t="shared" si="151"/>
        <v>12334.5</v>
      </c>
      <c r="N19" s="12">
        <f t="shared" si="151"/>
        <v>12341.6</v>
      </c>
      <c r="O19" s="12">
        <f t="shared" si="151"/>
        <v>12348.7</v>
      </c>
      <c r="P19" s="12">
        <f t="shared" si="151"/>
        <v>12355.800000000001</v>
      </c>
      <c r="Q19" s="12">
        <f t="shared" si="151"/>
        <v>12362.9</v>
      </c>
      <c r="R19" s="12">
        <f t="shared" si="151"/>
        <v>12370</v>
      </c>
      <c r="S19" s="12">
        <f t="shared" si="151"/>
        <v>12370</v>
      </c>
      <c r="T19" s="12">
        <f t="shared" si="151"/>
        <v>12370</v>
      </c>
      <c r="U19" s="12">
        <f t="shared" si="151"/>
        <v>12377.2</v>
      </c>
      <c r="V19" s="12">
        <f t="shared" si="151"/>
        <v>12384.300000000001</v>
      </c>
      <c r="W19" s="12">
        <f t="shared" si="151"/>
        <v>12391.4</v>
      </c>
      <c r="X19" s="12">
        <f t="shared" si="151"/>
        <v>12398.5</v>
      </c>
      <c r="Y19" s="12">
        <f t="shared" si="151"/>
        <v>12405.6</v>
      </c>
      <c r="Z19" s="12">
        <f t="shared" si="151"/>
        <v>12405.6</v>
      </c>
      <c r="AA19" s="12">
        <f t="shared" si="151"/>
        <v>12405.6</v>
      </c>
      <c r="AB19" s="12">
        <f t="shared" si="151"/>
        <v>12412.7</v>
      </c>
      <c r="AC19" s="12">
        <f t="shared" si="151"/>
        <v>12419.800000000001</v>
      </c>
      <c r="AD19" s="12">
        <f t="shared" si="151"/>
        <v>12426.9</v>
      </c>
      <c r="AE19" s="12">
        <f t="shared" si="151"/>
        <v>12434</v>
      </c>
      <c r="AF19" s="12">
        <f t="shared" si="151"/>
        <v>12441.1</v>
      </c>
      <c r="AG19" s="12">
        <f t="shared" si="151"/>
        <v>12441.1</v>
      </c>
      <c r="AH19" s="12">
        <f t="shared" si="151"/>
        <v>12441.1</v>
      </c>
      <c r="AI19" s="12">
        <f t="shared" si="151"/>
        <v>12448.2</v>
      </c>
      <c r="AJ19" s="12">
        <f t="shared" si="151"/>
        <v>12455.300000000001</v>
      </c>
      <c r="AK19" s="12">
        <f t="shared" si="151"/>
        <v>12455.300000000001</v>
      </c>
      <c r="AL19" s="12">
        <f t="shared" si="151"/>
        <v>12462.5</v>
      </c>
      <c r="AM19" s="12">
        <f t="shared" si="151"/>
        <v>12469.6</v>
      </c>
      <c r="AN19" s="12">
        <f t="shared" si="151"/>
        <v>12469.6</v>
      </c>
      <c r="AO19" s="12">
        <f t="shared" si="151"/>
        <v>12469.6</v>
      </c>
      <c r="AP19" s="12">
        <f t="shared" si="151"/>
        <v>12476.7</v>
      </c>
      <c r="AQ19" s="12">
        <f t="shared" si="151"/>
        <v>12483.800000000001</v>
      </c>
      <c r="AR19" s="12">
        <f t="shared" si="151"/>
        <v>12490.9</v>
      </c>
      <c r="AS19" s="12">
        <f t="shared" si="151"/>
        <v>12498</v>
      </c>
      <c r="AT19" s="12">
        <f t="shared" si="151"/>
        <v>12505.1</v>
      </c>
      <c r="AU19" s="12">
        <f t="shared" si="151"/>
        <v>12505.1</v>
      </c>
      <c r="AV19" s="12">
        <f t="shared" si="151"/>
        <v>12505.1</v>
      </c>
      <c r="AW19" s="12">
        <f t="shared" si="151"/>
        <v>12512.2</v>
      </c>
      <c r="AX19" s="12">
        <f t="shared" si="151"/>
        <v>12519.300000000001</v>
      </c>
      <c r="AY19" s="12">
        <f t="shared" si="151"/>
        <v>12526.4</v>
      </c>
      <c r="AZ19" s="12">
        <f t="shared" si="151"/>
        <v>12533.5</v>
      </c>
      <c r="BA19" s="12">
        <f t="shared" si="151"/>
        <v>12540.6</v>
      </c>
      <c r="BB19" s="12">
        <f t="shared" si="151"/>
        <v>12540.6</v>
      </c>
      <c r="BC19" s="12">
        <f t="shared" si="151"/>
        <v>12540.6</v>
      </c>
      <c r="BD19" s="12">
        <f t="shared" si="151"/>
        <v>12547.800000000001</v>
      </c>
      <c r="BE19" s="12">
        <f t="shared" si="151"/>
        <v>12554.9</v>
      </c>
      <c r="BF19" s="12">
        <f t="shared" si="151"/>
        <v>12562</v>
      </c>
      <c r="BG19" s="12">
        <f t="shared" si="151"/>
        <v>12569.1</v>
      </c>
      <c r="BH19" s="12">
        <f t="shared" si="151"/>
        <v>12576.2</v>
      </c>
      <c r="BI19" s="12">
        <f t="shared" si="151"/>
        <v>12576.2</v>
      </c>
      <c r="BJ19" s="12">
        <f t="shared" si="151"/>
        <v>12576.2</v>
      </c>
      <c r="BK19" s="12">
        <f t="shared" si="151"/>
        <v>12583.300000000001</v>
      </c>
      <c r="BL19" s="12">
        <f t="shared" si="148"/>
        <v>12512.1</v>
      </c>
    </row>
    <row r="20" spans="1:64" x14ac:dyDescent="0.25">
      <c r="A20" s="11" t="s">
        <v>3</v>
      </c>
      <c r="B20" s="12">
        <f t="shared" si="148"/>
        <v>15947.800000000001</v>
      </c>
      <c r="C20" s="12">
        <f t="shared" ref="C20:BK20" si="152">ROUNDUP(C11,1)</f>
        <v>15971.3</v>
      </c>
      <c r="D20" s="12">
        <f t="shared" si="152"/>
        <v>15973.6</v>
      </c>
      <c r="E20" s="12">
        <f t="shared" si="152"/>
        <v>15973.6</v>
      </c>
      <c r="F20" s="12">
        <f t="shared" si="152"/>
        <v>15973.6</v>
      </c>
      <c r="G20" s="12">
        <f t="shared" si="152"/>
        <v>15975.9</v>
      </c>
      <c r="H20" s="12">
        <f t="shared" si="152"/>
        <v>15978.1</v>
      </c>
      <c r="I20" s="12">
        <f t="shared" si="152"/>
        <v>15980.4</v>
      </c>
      <c r="J20" s="12">
        <f t="shared" si="152"/>
        <v>15982.6</v>
      </c>
      <c r="K20" s="12">
        <f t="shared" si="152"/>
        <v>15984.9</v>
      </c>
      <c r="L20" s="12">
        <f t="shared" si="152"/>
        <v>15984.9</v>
      </c>
      <c r="M20" s="12">
        <f t="shared" si="152"/>
        <v>15984.9</v>
      </c>
      <c r="N20" s="12">
        <f t="shared" si="152"/>
        <v>15987.1</v>
      </c>
      <c r="O20" s="12">
        <f t="shared" si="152"/>
        <v>15989.4</v>
      </c>
      <c r="P20" s="12">
        <f t="shared" si="152"/>
        <v>15991.6</v>
      </c>
      <c r="Q20" s="12">
        <f t="shared" si="152"/>
        <v>15993.9</v>
      </c>
      <c r="R20" s="12">
        <f t="shared" si="152"/>
        <v>15996.1</v>
      </c>
      <c r="S20" s="12">
        <f t="shared" si="152"/>
        <v>15996.1</v>
      </c>
      <c r="T20" s="12">
        <f t="shared" si="152"/>
        <v>15996.1</v>
      </c>
      <c r="U20" s="12">
        <f t="shared" si="152"/>
        <v>15998.4</v>
      </c>
      <c r="V20" s="12">
        <f t="shared" si="152"/>
        <v>16000.6</v>
      </c>
      <c r="W20" s="12">
        <f t="shared" si="152"/>
        <v>16002.9</v>
      </c>
      <c r="X20" s="12">
        <f t="shared" si="152"/>
        <v>16005.1</v>
      </c>
      <c r="Y20" s="12">
        <f t="shared" si="152"/>
        <v>16007.4</v>
      </c>
      <c r="Z20" s="12">
        <f t="shared" si="152"/>
        <v>16007.4</v>
      </c>
      <c r="AA20" s="12">
        <f t="shared" si="152"/>
        <v>16007.4</v>
      </c>
      <c r="AB20" s="12">
        <f t="shared" si="152"/>
        <v>16009.7</v>
      </c>
      <c r="AC20" s="12">
        <f t="shared" si="152"/>
        <v>16011.9</v>
      </c>
      <c r="AD20" s="12">
        <f t="shared" si="152"/>
        <v>16014.2</v>
      </c>
      <c r="AE20" s="12">
        <f t="shared" si="152"/>
        <v>16016.4</v>
      </c>
      <c r="AF20" s="12">
        <f t="shared" si="152"/>
        <v>16018.7</v>
      </c>
      <c r="AG20" s="12">
        <f t="shared" si="152"/>
        <v>16018.7</v>
      </c>
      <c r="AH20" s="12">
        <f t="shared" si="152"/>
        <v>16018.7</v>
      </c>
      <c r="AI20" s="12">
        <f t="shared" si="152"/>
        <v>16020.9</v>
      </c>
      <c r="AJ20" s="12">
        <f t="shared" si="152"/>
        <v>16023.2</v>
      </c>
      <c r="AK20" s="12">
        <f t="shared" si="152"/>
        <v>16023.2</v>
      </c>
      <c r="AL20" s="12">
        <f t="shared" si="152"/>
        <v>16025.4</v>
      </c>
      <c r="AM20" s="12">
        <f t="shared" si="152"/>
        <v>16027.7</v>
      </c>
      <c r="AN20" s="12">
        <f t="shared" si="152"/>
        <v>16027.7</v>
      </c>
      <c r="AO20" s="12">
        <f t="shared" si="152"/>
        <v>16027.7</v>
      </c>
      <c r="AP20" s="12">
        <f t="shared" si="152"/>
        <v>16029.9</v>
      </c>
      <c r="AQ20" s="12">
        <f t="shared" si="152"/>
        <v>16032.2</v>
      </c>
      <c r="AR20" s="12">
        <f t="shared" si="152"/>
        <v>16034.4</v>
      </c>
      <c r="AS20" s="12">
        <f t="shared" si="152"/>
        <v>16036.7</v>
      </c>
      <c r="AT20" s="12">
        <f t="shared" si="152"/>
        <v>16038.9</v>
      </c>
      <c r="AU20" s="12">
        <f t="shared" si="152"/>
        <v>16038.9</v>
      </c>
      <c r="AV20" s="12">
        <f t="shared" si="152"/>
        <v>16038.9</v>
      </c>
      <c r="AW20" s="12">
        <f t="shared" si="152"/>
        <v>16041.2</v>
      </c>
      <c r="AX20" s="12">
        <f t="shared" si="152"/>
        <v>16043.5</v>
      </c>
      <c r="AY20" s="12">
        <f t="shared" si="152"/>
        <v>16045.7</v>
      </c>
      <c r="AZ20" s="12">
        <f t="shared" si="152"/>
        <v>16048</v>
      </c>
      <c r="BA20" s="12">
        <f t="shared" si="152"/>
        <v>16050.2</v>
      </c>
      <c r="BB20" s="12">
        <f t="shared" si="152"/>
        <v>16050.2</v>
      </c>
      <c r="BC20" s="12">
        <f t="shared" si="152"/>
        <v>16050.2</v>
      </c>
      <c r="BD20" s="12">
        <f t="shared" si="152"/>
        <v>16052.5</v>
      </c>
      <c r="BE20" s="12">
        <f t="shared" si="152"/>
        <v>16054.7</v>
      </c>
      <c r="BF20" s="12">
        <f t="shared" si="152"/>
        <v>16057</v>
      </c>
      <c r="BG20" s="12">
        <f t="shared" si="152"/>
        <v>16059.2</v>
      </c>
      <c r="BH20" s="12">
        <f t="shared" si="152"/>
        <v>16061.5</v>
      </c>
      <c r="BI20" s="12">
        <f t="shared" si="152"/>
        <v>16061.5</v>
      </c>
      <c r="BJ20" s="12">
        <f t="shared" si="152"/>
        <v>16061.5</v>
      </c>
      <c r="BK20" s="12">
        <f t="shared" si="152"/>
        <v>16063.7</v>
      </c>
      <c r="BL20" s="12">
        <f t="shared" si="148"/>
        <v>16046.9</v>
      </c>
    </row>
    <row r="22" spans="1:64" x14ac:dyDescent="0.25">
      <c r="A22" s="11">
        <v>500</v>
      </c>
      <c r="B22" s="12">
        <f t="shared" ref="B22:Q26" si="153">ROUNDUP(B13,1)</f>
        <v>13633.9</v>
      </c>
      <c r="C22" s="12">
        <v>13811.2</v>
      </c>
      <c r="D22" s="12">
        <v>13822.9</v>
      </c>
      <c r="E22" s="12">
        <v>13822.9</v>
      </c>
      <c r="F22" s="12">
        <v>13822.9</v>
      </c>
      <c r="G22" s="12">
        <v>13834.5</v>
      </c>
      <c r="H22" s="12">
        <v>13846.2</v>
      </c>
      <c r="I22" s="12">
        <v>13857.800000000001</v>
      </c>
      <c r="J22" s="12">
        <v>13869.4</v>
      </c>
      <c r="K22" s="12">
        <v>13881.1</v>
      </c>
      <c r="L22" s="12">
        <v>13881.1</v>
      </c>
      <c r="M22" s="12">
        <v>13881.1</v>
      </c>
      <c r="N22" s="12">
        <v>13892.7</v>
      </c>
      <c r="O22" s="12">
        <v>13904.300000000001</v>
      </c>
      <c r="P22" s="12">
        <v>13916</v>
      </c>
      <c r="Q22" s="12">
        <v>13927.6</v>
      </c>
      <c r="R22" s="12">
        <v>13939.2</v>
      </c>
      <c r="S22" s="12">
        <v>13939.2</v>
      </c>
      <c r="T22" s="12">
        <v>13939.2</v>
      </c>
      <c r="U22" s="12">
        <v>13950.9</v>
      </c>
      <c r="V22" s="12">
        <v>13962.5</v>
      </c>
      <c r="W22" s="12">
        <v>13974.1</v>
      </c>
      <c r="X22" s="12">
        <v>13985.800000000001</v>
      </c>
      <c r="Y22" s="12">
        <v>13997.4</v>
      </c>
      <c r="Z22" s="12">
        <v>13997.4</v>
      </c>
      <c r="AA22" s="12">
        <v>13997.4</v>
      </c>
      <c r="AB22" s="12">
        <v>14009</v>
      </c>
      <c r="AC22" s="12">
        <v>14020.7</v>
      </c>
      <c r="AD22" s="12">
        <v>14032.300000000001</v>
      </c>
      <c r="AE22" s="12">
        <v>14043.9</v>
      </c>
      <c r="AF22" s="12">
        <v>14055.6</v>
      </c>
      <c r="AG22" s="12">
        <v>14055.6</v>
      </c>
      <c r="AH22" s="12">
        <v>14055.6</v>
      </c>
      <c r="AI22" s="12">
        <f t="shared" ref="R22:BL22" si="154">ROUNDUP(AI13,1)</f>
        <v>14067.2</v>
      </c>
      <c r="AJ22" s="12">
        <f t="shared" si="154"/>
        <v>14078.8</v>
      </c>
      <c r="AK22" s="12">
        <f t="shared" si="154"/>
        <v>14078.8</v>
      </c>
      <c r="AL22" s="12">
        <f t="shared" si="154"/>
        <v>14090.5</v>
      </c>
      <c r="AM22" s="12">
        <f t="shared" si="154"/>
        <v>14102.1</v>
      </c>
      <c r="AN22" s="12">
        <f t="shared" si="154"/>
        <v>14102.1</v>
      </c>
      <c r="AO22" s="12">
        <f t="shared" si="154"/>
        <v>14102.1</v>
      </c>
      <c r="AP22" s="12">
        <f t="shared" si="154"/>
        <v>14113.7</v>
      </c>
      <c r="AQ22" s="12">
        <f t="shared" si="154"/>
        <v>14125.4</v>
      </c>
      <c r="AR22" s="12">
        <f t="shared" si="154"/>
        <v>14137</v>
      </c>
      <c r="AS22" s="12">
        <f t="shared" si="154"/>
        <v>14148.6</v>
      </c>
      <c r="AT22" s="12">
        <f t="shared" si="154"/>
        <v>14160.3</v>
      </c>
      <c r="AU22" s="12">
        <f t="shared" si="154"/>
        <v>14160.3</v>
      </c>
      <c r="AV22" s="12">
        <f t="shared" si="154"/>
        <v>14160.3</v>
      </c>
      <c r="AW22" s="12">
        <f t="shared" si="154"/>
        <v>14171.9</v>
      </c>
      <c r="AX22" s="12">
        <f t="shared" si="154"/>
        <v>14183.5</v>
      </c>
      <c r="AY22" s="12">
        <f t="shared" si="154"/>
        <v>14195.2</v>
      </c>
      <c r="AZ22" s="12">
        <f t="shared" si="154"/>
        <v>14206.8</v>
      </c>
      <c r="BA22" s="12">
        <f t="shared" si="154"/>
        <v>14218.4</v>
      </c>
      <c r="BB22" s="12">
        <f t="shared" si="154"/>
        <v>14218.4</v>
      </c>
      <c r="BC22" s="12">
        <f t="shared" si="154"/>
        <v>14218.4</v>
      </c>
      <c r="BD22" s="12">
        <f t="shared" si="154"/>
        <v>14230.1</v>
      </c>
      <c r="BE22" s="12">
        <f t="shared" si="154"/>
        <v>14241.7</v>
      </c>
      <c r="BF22" s="12">
        <f t="shared" si="154"/>
        <v>14253.3</v>
      </c>
      <c r="BG22" s="12">
        <f t="shared" si="154"/>
        <v>14265</v>
      </c>
      <c r="BH22" s="12">
        <f t="shared" si="154"/>
        <v>14276.6</v>
      </c>
      <c r="BI22" s="12">
        <f t="shared" si="154"/>
        <v>14276.6</v>
      </c>
      <c r="BJ22" s="12">
        <f t="shared" si="154"/>
        <v>14276.6</v>
      </c>
      <c r="BK22" s="12">
        <f t="shared" si="154"/>
        <v>14288.2</v>
      </c>
      <c r="BL22" s="12">
        <f t="shared" si="154"/>
        <v>14145.7</v>
      </c>
    </row>
    <row r="23" spans="1:64" x14ac:dyDescent="0.25">
      <c r="A23" s="11">
        <v>165</v>
      </c>
      <c r="B23" s="12">
        <f t="shared" si="153"/>
        <v>18701.8</v>
      </c>
      <c r="C23" s="12">
        <v>18926.3</v>
      </c>
      <c r="D23" s="12">
        <v>18943.3</v>
      </c>
      <c r="E23" s="12">
        <v>18943.3</v>
      </c>
      <c r="F23" s="12">
        <v>18943.3</v>
      </c>
      <c r="G23" s="12">
        <v>18960.199999999997</v>
      </c>
      <c r="H23" s="12">
        <v>18977.099999999999</v>
      </c>
      <c r="I23" s="12">
        <v>18994</v>
      </c>
      <c r="J23" s="12">
        <v>19010.899999999998</v>
      </c>
      <c r="K23" s="12">
        <v>19027.8</v>
      </c>
      <c r="L23" s="12">
        <v>19027.8</v>
      </c>
      <c r="M23" s="12">
        <v>19027.8</v>
      </c>
      <c r="N23" s="12">
        <v>19044.699999999997</v>
      </c>
      <c r="O23" s="12">
        <v>19061.599999999999</v>
      </c>
      <c r="P23" s="12">
        <v>19078.599999999999</v>
      </c>
      <c r="Q23" s="12">
        <v>19095.5</v>
      </c>
      <c r="R23" s="12">
        <v>19112.399999999998</v>
      </c>
      <c r="S23" s="12">
        <v>19112.399999999998</v>
      </c>
      <c r="T23" s="12">
        <v>19112.399999999998</v>
      </c>
      <c r="U23" s="12">
        <v>19129.3</v>
      </c>
      <c r="V23" s="12">
        <v>19146.199999999997</v>
      </c>
      <c r="W23" s="12">
        <v>19163.099999999999</v>
      </c>
      <c r="X23" s="12">
        <v>19180</v>
      </c>
      <c r="Y23" s="12">
        <v>19196.900000000001</v>
      </c>
      <c r="Z23" s="12">
        <v>19196.900000000001</v>
      </c>
      <c r="AA23" s="12">
        <v>19196.900000000001</v>
      </c>
      <c r="AB23" s="12">
        <v>19213.899999999998</v>
      </c>
      <c r="AC23" s="12">
        <v>19230.8</v>
      </c>
      <c r="AD23" s="12">
        <v>19247.699999999997</v>
      </c>
      <c r="AE23" s="12">
        <v>19264.599999999999</v>
      </c>
      <c r="AF23" s="12">
        <v>19281.5</v>
      </c>
      <c r="AG23" s="12">
        <v>19281.5</v>
      </c>
      <c r="AH23" s="12">
        <v>19281.5</v>
      </c>
      <c r="AI23" s="12">
        <f t="shared" ref="R23:BL23" si="155">ROUNDUP(AI14,1)</f>
        <v>19298.400000000001</v>
      </c>
      <c r="AJ23" s="12">
        <f t="shared" si="155"/>
        <v>19315.3</v>
      </c>
      <c r="AK23" s="12">
        <f t="shared" si="155"/>
        <v>19315.3</v>
      </c>
      <c r="AL23" s="12">
        <f t="shared" si="155"/>
        <v>19332.2</v>
      </c>
      <c r="AM23" s="12">
        <f t="shared" si="155"/>
        <v>19349.2</v>
      </c>
      <c r="AN23" s="12">
        <f t="shared" si="155"/>
        <v>19349.2</v>
      </c>
      <c r="AO23" s="12">
        <f t="shared" si="155"/>
        <v>19349.2</v>
      </c>
      <c r="AP23" s="12">
        <f t="shared" si="155"/>
        <v>19366.099999999999</v>
      </c>
      <c r="AQ23" s="12">
        <f t="shared" si="155"/>
        <v>19383</v>
      </c>
      <c r="AR23" s="12">
        <f t="shared" si="155"/>
        <v>19399.900000000001</v>
      </c>
      <c r="AS23" s="12">
        <f t="shared" si="155"/>
        <v>19416.8</v>
      </c>
      <c r="AT23" s="12">
        <f t="shared" si="155"/>
        <v>19433.7</v>
      </c>
      <c r="AU23" s="12">
        <f t="shared" si="155"/>
        <v>19433.7</v>
      </c>
      <c r="AV23" s="12">
        <f t="shared" si="155"/>
        <v>19433.7</v>
      </c>
      <c r="AW23" s="12">
        <f t="shared" si="155"/>
        <v>19450.599999999999</v>
      </c>
      <c r="AX23" s="12">
        <f t="shared" si="155"/>
        <v>19467.5</v>
      </c>
      <c r="AY23" s="12">
        <f t="shared" si="155"/>
        <v>19484.5</v>
      </c>
      <c r="AZ23" s="12">
        <f t="shared" si="155"/>
        <v>19501.400000000001</v>
      </c>
      <c r="BA23" s="12">
        <f t="shared" si="155"/>
        <v>19518.3</v>
      </c>
      <c r="BB23" s="12">
        <f t="shared" si="155"/>
        <v>19518.3</v>
      </c>
      <c r="BC23" s="12">
        <f t="shared" si="155"/>
        <v>19518.3</v>
      </c>
      <c r="BD23" s="12">
        <f t="shared" si="155"/>
        <v>19535.2</v>
      </c>
      <c r="BE23" s="12">
        <f t="shared" si="155"/>
        <v>19552.099999999999</v>
      </c>
      <c r="BF23" s="12">
        <f t="shared" si="155"/>
        <v>19569</v>
      </c>
      <c r="BG23" s="12">
        <f t="shared" si="155"/>
        <v>19585.900000000001</v>
      </c>
      <c r="BH23" s="12">
        <f t="shared" si="155"/>
        <v>19602.8</v>
      </c>
      <c r="BI23" s="12">
        <f t="shared" si="155"/>
        <v>19602.8</v>
      </c>
      <c r="BJ23" s="12">
        <f t="shared" si="155"/>
        <v>19602.8</v>
      </c>
      <c r="BK23" s="12">
        <f t="shared" si="155"/>
        <v>19619.8</v>
      </c>
      <c r="BL23" s="12">
        <f t="shared" si="155"/>
        <v>19445.900000000001</v>
      </c>
    </row>
    <row r="24" spans="1:64" x14ac:dyDescent="0.25">
      <c r="A24" s="11">
        <v>300</v>
      </c>
      <c r="B24" s="12">
        <f t="shared" si="153"/>
        <v>668.3</v>
      </c>
      <c r="C24" s="12">
        <v>671</v>
      </c>
      <c r="D24" s="12">
        <v>671.30000000000007</v>
      </c>
      <c r="E24" s="12">
        <v>671.30000000000007</v>
      </c>
      <c r="F24" s="12">
        <v>671.30000000000007</v>
      </c>
      <c r="G24" s="12">
        <v>671.5</v>
      </c>
      <c r="H24" s="12">
        <v>671.7</v>
      </c>
      <c r="I24" s="12">
        <v>671.9</v>
      </c>
      <c r="J24" s="12">
        <v>672.2</v>
      </c>
      <c r="K24" s="12">
        <v>672.4</v>
      </c>
      <c r="L24" s="12">
        <v>672.4</v>
      </c>
      <c r="M24" s="12">
        <v>672.4</v>
      </c>
      <c r="N24" s="12">
        <v>672.6</v>
      </c>
      <c r="O24" s="12">
        <v>672.80000000000007</v>
      </c>
      <c r="P24" s="12">
        <v>673</v>
      </c>
      <c r="Q24" s="12">
        <v>673.30000000000007</v>
      </c>
      <c r="R24" s="12">
        <v>673.5</v>
      </c>
      <c r="S24" s="12">
        <v>673.5</v>
      </c>
      <c r="T24" s="12">
        <v>673.5</v>
      </c>
      <c r="U24" s="12">
        <v>673.7</v>
      </c>
      <c r="V24" s="12">
        <v>673.9</v>
      </c>
      <c r="W24" s="12">
        <v>674.2</v>
      </c>
      <c r="X24" s="12">
        <v>674.4</v>
      </c>
      <c r="Y24" s="12">
        <v>674.6</v>
      </c>
      <c r="Z24" s="12">
        <v>674.6</v>
      </c>
      <c r="AA24" s="12">
        <v>674.6</v>
      </c>
      <c r="AB24" s="12">
        <v>674.80000000000007</v>
      </c>
      <c r="AC24" s="12">
        <v>675</v>
      </c>
      <c r="AD24" s="12">
        <v>675.30000000000007</v>
      </c>
      <c r="AE24" s="12">
        <v>675.5</v>
      </c>
      <c r="AF24" s="12">
        <v>675.7</v>
      </c>
      <c r="AG24" s="12">
        <v>675.7</v>
      </c>
      <c r="AH24" s="12">
        <v>675.7</v>
      </c>
      <c r="AI24" s="12">
        <f t="shared" ref="R24:BL24" si="156">ROUNDUP(AI15,1)</f>
        <v>675.9</v>
      </c>
      <c r="AJ24" s="12">
        <f t="shared" si="156"/>
        <v>676.1</v>
      </c>
      <c r="AK24" s="12">
        <f t="shared" si="156"/>
        <v>676.1</v>
      </c>
      <c r="AL24" s="12">
        <f t="shared" si="156"/>
        <v>676.4</v>
      </c>
      <c r="AM24" s="12">
        <f t="shared" si="156"/>
        <v>676.6</v>
      </c>
      <c r="AN24" s="12">
        <f t="shared" si="156"/>
        <v>676.6</v>
      </c>
      <c r="AO24" s="12">
        <f t="shared" si="156"/>
        <v>676.6</v>
      </c>
      <c r="AP24" s="12">
        <f t="shared" si="156"/>
        <v>676.8</v>
      </c>
      <c r="AQ24" s="12">
        <f t="shared" si="156"/>
        <v>677</v>
      </c>
      <c r="AR24" s="12">
        <f t="shared" si="156"/>
        <v>677.3</v>
      </c>
      <c r="AS24" s="12">
        <f t="shared" si="156"/>
        <v>677.5</v>
      </c>
      <c r="AT24" s="12">
        <f t="shared" si="156"/>
        <v>677.7</v>
      </c>
      <c r="AU24" s="12">
        <f t="shared" si="156"/>
        <v>677.7</v>
      </c>
      <c r="AV24" s="12">
        <f t="shared" si="156"/>
        <v>677.7</v>
      </c>
      <c r="AW24" s="12">
        <f t="shared" si="156"/>
        <v>677.9</v>
      </c>
      <c r="AX24" s="12">
        <f t="shared" si="156"/>
        <v>678.1</v>
      </c>
      <c r="AY24" s="12">
        <f t="shared" si="156"/>
        <v>678.4</v>
      </c>
      <c r="AZ24" s="12">
        <f t="shared" si="156"/>
        <v>678.6</v>
      </c>
      <c r="BA24" s="12">
        <f t="shared" si="156"/>
        <v>678.8</v>
      </c>
      <c r="BB24" s="12">
        <f t="shared" si="156"/>
        <v>678.8</v>
      </c>
      <c r="BC24" s="12">
        <f t="shared" si="156"/>
        <v>678.8</v>
      </c>
      <c r="BD24" s="12">
        <f t="shared" si="156"/>
        <v>679</v>
      </c>
      <c r="BE24" s="12">
        <f t="shared" si="156"/>
        <v>679.2</v>
      </c>
      <c r="BF24" s="12">
        <f t="shared" si="156"/>
        <v>679.5</v>
      </c>
      <c r="BG24" s="12">
        <f t="shared" si="156"/>
        <v>679.7</v>
      </c>
      <c r="BH24" s="12">
        <f t="shared" si="156"/>
        <v>679.9</v>
      </c>
      <c r="BI24" s="12">
        <f t="shared" si="156"/>
        <v>679.9</v>
      </c>
      <c r="BJ24" s="12">
        <f t="shared" si="156"/>
        <v>679.9</v>
      </c>
      <c r="BK24" s="12">
        <f t="shared" si="156"/>
        <v>680.1</v>
      </c>
      <c r="BL24" s="12">
        <f t="shared" si="156"/>
        <v>678</v>
      </c>
    </row>
    <row r="25" spans="1:64" x14ac:dyDescent="0.25">
      <c r="A25" s="11">
        <v>120</v>
      </c>
      <c r="B25" s="12">
        <f t="shared" si="153"/>
        <v>25970</v>
      </c>
      <c r="C25" s="12">
        <v>26396.2</v>
      </c>
      <c r="D25" s="12">
        <v>26427.5</v>
      </c>
      <c r="E25" s="12">
        <v>26427.5</v>
      </c>
      <c r="F25" s="12">
        <v>26427.5</v>
      </c>
      <c r="G25" s="12">
        <v>26458.799999999999</v>
      </c>
      <c r="H25" s="12">
        <v>26490.1</v>
      </c>
      <c r="I25" s="12">
        <v>26521.399999999998</v>
      </c>
      <c r="J25" s="12">
        <v>26552.699999999997</v>
      </c>
      <c r="K25" s="12">
        <v>26583.899999999998</v>
      </c>
      <c r="L25" s="12">
        <v>26583.899999999998</v>
      </c>
      <c r="M25" s="12">
        <v>26583.899999999998</v>
      </c>
      <c r="N25" s="12">
        <v>26615.199999999997</v>
      </c>
      <c r="O25" s="12">
        <v>26646.5</v>
      </c>
      <c r="P25" s="12">
        <v>26677.8</v>
      </c>
      <c r="Q25" s="12">
        <v>26709.1</v>
      </c>
      <c r="R25" s="12">
        <v>26740.399999999998</v>
      </c>
      <c r="S25" s="12">
        <v>26740.399999999998</v>
      </c>
      <c r="T25" s="12">
        <v>26740.399999999998</v>
      </c>
      <c r="U25" s="12">
        <v>26771.599999999999</v>
      </c>
      <c r="V25" s="12">
        <v>26802.899999999998</v>
      </c>
      <c r="W25" s="12">
        <v>26834.199999999997</v>
      </c>
      <c r="X25" s="12">
        <v>26865.5</v>
      </c>
      <c r="Y25" s="12">
        <v>26896.799999999999</v>
      </c>
      <c r="Z25" s="12">
        <v>26896.799999999999</v>
      </c>
      <c r="AA25" s="12">
        <v>26896.799999999999</v>
      </c>
      <c r="AB25" s="12">
        <v>26928.1</v>
      </c>
      <c r="AC25" s="12">
        <v>26959.3</v>
      </c>
      <c r="AD25" s="12">
        <v>26990.6</v>
      </c>
      <c r="AE25" s="12">
        <v>27021.899999999998</v>
      </c>
      <c r="AF25" s="12">
        <v>27053.199999999997</v>
      </c>
      <c r="AG25" s="12">
        <v>27053.199999999997</v>
      </c>
      <c r="AH25" s="12">
        <v>27053.199999999997</v>
      </c>
      <c r="AI25" s="12">
        <f t="shared" ref="R25:BL25" si="157">ROUNDUP(AI16,1)</f>
        <v>27084.5</v>
      </c>
      <c r="AJ25" s="12">
        <f t="shared" si="157"/>
        <v>27115.7</v>
      </c>
      <c r="AK25" s="12">
        <f t="shared" si="157"/>
        <v>27115.7</v>
      </c>
      <c r="AL25" s="12">
        <f t="shared" si="157"/>
        <v>27147</v>
      </c>
      <c r="AM25" s="12">
        <f t="shared" si="157"/>
        <v>27178.3</v>
      </c>
      <c r="AN25" s="12">
        <f t="shared" si="157"/>
        <v>27178.3</v>
      </c>
      <c r="AO25" s="12">
        <f t="shared" si="157"/>
        <v>27178.3</v>
      </c>
      <c r="AP25" s="12">
        <f t="shared" si="157"/>
        <v>27209.599999999999</v>
      </c>
      <c r="AQ25" s="12">
        <f t="shared" si="157"/>
        <v>27240.9</v>
      </c>
      <c r="AR25" s="12">
        <f t="shared" si="157"/>
        <v>27272.2</v>
      </c>
      <c r="AS25" s="12">
        <f t="shared" si="157"/>
        <v>27303.4</v>
      </c>
      <c r="AT25" s="12">
        <f t="shared" si="157"/>
        <v>27334.7</v>
      </c>
      <c r="AU25" s="12">
        <f t="shared" si="157"/>
        <v>27334.7</v>
      </c>
      <c r="AV25" s="12">
        <f t="shared" si="157"/>
        <v>27334.7</v>
      </c>
      <c r="AW25" s="12">
        <f t="shared" si="157"/>
        <v>27366</v>
      </c>
      <c r="AX25" s="12">
        <f t="shared" si="157"/>
        <v>27397.3</v>
      </c>
      <c r="AY25" s="12">
        <f t="shared" si="157"/>
        <v>27428.6</v>
      </c>
      <c r="AZ25" s="12">
        <f t="shared" si="157"/>
        <v>27459.9</v>
      </c>
      <c r="BA25" s="12">
        <f t="shared" si="157"/>
        <v>27491.1</v>
      </c>
      <c r="BB25" s="12">
        <f t="shared" si="157"/>
        <v>27491.1</v>
      </c>
      <c r="BC25" s="12">
        <f t="shared" si="157"/>
        <v>27491.1</v>
      </c>
      <c r="BD25" s="12">
        <f t="shared" si="157"/>
        <v>27522.400000000001</v>
      </c>
      <c r="BE25" s="12">
        <f t="shared" si="157"/>
        <v>27553.7</v>
      </c>
      <c r="BF25" s="12">
        <f t="shared" si="157"/>
        <v>27585</v>
      </c>
      <c r="BG25" s="12">
        <f t="shared" si="157"/>
        <v>27616.3</v>
      </c>
      <c r="BH25" s="12">
        <f t="shared" si="157"/>
        <v>27647.599999999999</v>
      </c>
      <c r="BI25" s="12">
        <f t="shared" si="157"/>
        <v>27647.599999999999</v>
      </c>
      <c r="BJ25" s="12">
        <f t="shared" si="157"/>
        <v>27647.599999999999</v>
      </c>
      <c r="BK25" s="12">
        <f t="shared" si="157"/>
        <v>27678.799999999999</v>
      </c>
      <c r="BL25" s="12">
        <f t="shared" si="157"/>
        <v>27346.5</v>
      </c>
    </row>
    <row r="26" spans="1:64" x14ac:dyDescent="0.25">
      <c r="A26" s="11">
        <v>50</v>
      </c>
      <c r="B26" s="12">
        <f t="shared" si="153"/>
        <v>3951.6</v>
      </c>
      <c r="C26" s="12">
        <v>3968</v>
      </c>
      <c r="D26" s="12">
        <v>3969.2999999999997</v>
      </c>
      <c r="E26" s="12">
        <v>3969.2999999999997</v>
      </c>
      <c r="F26" s="12">
        <v>3969.2999999999997</v>
      </c>
      <c r="G26" s="12">
        <v>3970.5</v>
      </c>
      <c r="H26" s="12">
        <v>3971.7</v>
      </c>
      <c r="I26" s="12">
        <v>3972.9</v>
      </c>
      <c r="J26" s="12">
        <v>3974.1</v>
      </c>
      <c r="K26" s="12">
        <v>3975.2999999999997</v>
      </c>
      <c r="L26" s="12">
        <v>3975.2999999999997</v>
      </c>
      <c r="M26" s="12">
        <v>3975.2999999999997</v>
      </c>
      <c r="N26" s="12">
        <v>3976.5</v>
      </c>
      <c r="O26" s="12">
        <v>3977.7999999999997</v>
      </c>
      <c r="P26" s="12">
        <v>3979</v>
      </c>
      <c r="Q26" s="12">
        <v>3980.2</v>
      </c>
      <c r="R26" s="12">
        <v>3981.4</v>
      </c>
      <c r="S26" s="12">
        <v>3981.4</v>
      </c>
      <c r="T26" s="12">
        <v>3981.4</v>
      </c>
      <c r="U26" s="12">
        <v>3982.6</v>
      </c>
      <c r="V26" s="12">
        <v>3983.7999999999997</v>
      </c>
      <c r="W26" s="12">
        <v>3985</v>
      </c>
      <c r="X26" s="12">
        <v>3986.2999999999997</v>
      </c>
      <c r="Y26" s="12">
        <v>3987.5</v>
      </c>
      <c r="Z26" s="12">
        <v>3987.5</v>
      </c>
      <c r="AA26" s="12">
        <v>3987.5</v>
      </c>
      <c r="AB26" s="12">
        <v>3988.7</v>
      </c>
      <c r="AC26" s="12">
        <v>3989.9</v>
      </c>
      <c r="AD26" s="12">
        <v>3991.1</v>
      </c>
      <c r="AE26" s="12">
        <v>3992.2999999999997</v>
      </c>
      <c r="AF26" s="12">
        <v>3993.5</v>
      </c>
      <c r="AG26" s="12">
        <v>3993.5</v>
      </c>
      <c r="AH26" s="12">
        <v>3993.5</v>
      </c>
      <c r="AI26" s="12">
        <f t="shared" ref="R26:BL26" si="158">ROUNDUP(AI17,1)</f>
        <v>3994.8</v>
      </c>
      <c r="AJ26" s="12">
        <f t="shared" si="158"/>
        <v>3996</v>
      </c>
      <c r="AK26" s="12">
        <f t="shared" si="158"/>
        <v>3996</v>
      </c>
      <c r="AL26" s="12">
        <f t="shared" si="158"/>
        <v>3997.2</v>
      </c>
      <c r="AM26" s="12">
        <f t="shared" si="158"/>
        <v>3998.4</v>
      </c>
      <c r="AN26" s="12">
        <f t="shared" si="158"/>
        <v>3998.4</v>
      </c>
      <c r="AO26" s="12">
        <f t="shared" si="158"/>
        <v>3998.4</v>
      </c>
      <c r="AP26" s="12">
        <f t="shared" si="158"/>
        <v>3999.6</v>
      </c>
      <c r="AQ26" s="12">
        <f t="shared" si="158"/>
        <v>4000.8</v>
      </c>
      <c r="AR26" s="12">
        <f t="shared" si="158"/>
        <v>4002</v>
      </c>
      <c r="AS26" s="12">
        <f t="shared" si="158"/>
        <v>4003.3</v>
      </c>
      <c r="AT26" s="12">
        <f t="shared" si="158"/>
        <v>4004.5</v>
      </c>
      <c r="AU26" s="12">
        <f t="shared" si="158"/>
        <v>4004.5</v>
      </c>
      <c r="AV26" s="12">
        <f t="shared" si="158"/>
        <v>4004.5</v>
      </c>
      <c r="AW26" s="12">
        <f t="shared" si="158"/>
        <v>4005.7</v>
      </c>
      <c r="AX26" s="12">
        <f t="shared" si="158"/>
        <v>4006.9</v>
      </c>
      <c r="AY26" s="12">
        <f t="shared" si="158"/>
        <v>4008.1</v>
      </c>
      <c r="AZ26" s="12">
        <f t="shared" si="158"/>
        <v>4009.3</v>
      </c>
      <c r="BA26" s="12">
        <f t="shared" si="158"/>
        <v>4010.5</v>
      </c>
      <c r="BB26" s="12">
        <f t="shared" si="158"/>
        <v>4010.5</v>
      </c>
      <c r="BC26" s="12">
        <f t="shared" si="158"/>
        <v>4010.5</v>
      </c>
      <c r="BD26" s="12">
        <f t="shared" si="158"/>
        <v>4011.8</v>
      </c>
      <c r="BE26" s="12">
        <f t="shared" si="158"/>
        <v>4013</v>
      </c>
      <c r="BF26" s="12">
        <f t="shared" si="158"/>
        <v>4014.2</v>
      </c>
      <c r="BG26" s="12">
        <f t="shared" si="158"/>
        <v>4015.4</v>
      </c>
      <c r="BH26" s="12">
        <f t="shared" si="158"/>
        <v>4016.6</v>
      </c>
      <c r="BI26" s="12">
        <f t="shared" si="158"/>
        <v>4016.6</v>
      </c>
      <c r="BJ26" s="12">
        <f t="shared" si="158"/>
        <v>4016.6</v>
      </c>
      <c r="BK26" s="12">
        <f t="shared" si="158"/>
        <v>4017.8</v>
      </c>
      <c r="BL26" s="12">
        <f t="shared" si="158"/>
        <v>4005</v>
      </c>
    </row>
    <row r="27" spans="1:64" x14ac:dyDescent="0.25">
      <c r="A27" s="11">
        <v>250</v>
      </c>
      <c r="B27" s="12">
        <f t="shared" ref="B27:Q29" si="159">ROUNDUP(B18,1)</f>
        <v>11321.2</v>
      </c>
      <c r="C27" s="12">
        <v>11488.2</v>
      </c>
      <c r="D27" s="12">
        <v>11500</v>
      </c>
      <c r="E27" s="12">
        <v>11500</v>
      </c>
      <c r="F27" s="12">
        <v>11500</v>
      </c>
      <c r="G27" s="12">
        <v>11511.800000000001</v>
      </c>
      <c r="H27" s="12">
        <v>11523.6</v>
      </c>
      <c r="I27" s="12">
        <v>11535.4</v>
      </c>
      <c r="J27" s="12">
        <v>11547.2</v>
      </c>
      <c r="K27" s="12">
        <v>11559</v>
      </c>
      <c r="L27" s="12">
        <v>11559</v>
      </c>
      <c r="M27" s="12">
        <v>11559</v>
      </c>
      <c r="N27" s="12">
        <v>11570.800000000001</v>
      </c>
      <c r="O27" s="12">
        <v>11582.6</v>
      </c>
      <c r="P27" s="12">
        <v>11594.4</v>
      </c>
      <c r="Q27" s="12">
        <v>11606.2</v>
      </c>
      <c r="R27" s="12">
        <v>11618</v>
      </c>
      <c r="S27" s="12">
        <v>11618</v>
      </c>
      <c r="T27" s="12">
        <v>11618</v>
      </c>
      <c r="U27" s="12">
        <v>11629.800000000001</v>
      </c>
      <c r="V27" s="12">
        <v>11641.6</v>
      </c>
      <c r="W27" s="12">
        <v>11653.4</v>
      </c>
      <c r="X27" s="12">
        <v>11665.2</v>
      </c>
      <c r="Y27" s="12">
        <v>11677</v>
      </c>
      <c r="Z27" s="12">
        <v>11677</v>
      </c>
      <c r="AA27" s="12">
        <v>11677</v>
      </c>
      <c r="AB27" s="12">
        <v>11688.800000000001</v>
      </c>
      <c r="AC27" s="12">
        <v>11700.6</v>
      </c>
      <c r="AD27" s="12">
        <v>11712.4</v>
      </c>
      <c r="AE27" s="12">
        <v>11724.2</v>
      </c>
      <c r="AF27" s="12">
        <v>11736</v>
      </c>
      <c r="AG27" s="12">
        <v>11736</v>
      </c>
      <c r="AH27" s="12">
        <v>11736</v>
      </c>
      <c r="AI27" s="12">
        <f t="shared" ref="R27:BL27" si="160">ROUNDUP(AI18,1)</f>
        <v>11747.8</v>
      </c>
      <c r="AJ27" s="12">
        <f t="shared" si="160"/>
        <v>11759.6</v>
      </c>
      <c r="AK27" s="12">
        <f t="shared" si="160"/>
        <v>11759.6</v>
      </c>
      <c r="AL27" s="12">
        <f t="shared" si="160"/>
        <v>11771.4</v>
      </c>
      <c r="AM27" s="12">
        <f t="shared" si="160"/>
        <v>11783.2</v>
      </c>
      <c r="AN27" s="12">
        <f t="shared" si="160"/>
        <v>11783.2</v>
      </c>
      <c r="AO27" s="12">
        <f t="shared" si="160"/>
        <v>11783.2</v>
      </c>
      <c r="AP27" s="12">
        <f t="shared" si="160"/>
        <v>11795</v>
      </c>
      <c r="AQ27" s="12">
        <f t="shared" si="160"/>
        <v>11806.8</v>
      </c>
      <c r="AR27" s="12">
        <f t="shared" si="160"/>
        <v>11818.6</v>
      </c>
      <c r="AS27" s="12">
        <f t="shared" si="160"/>
        <v>11830.3</v>
      </c>
      <c r="AT27" s="12">
        <f t="shared" si="160"/>
        <v>11842.1</v>
      </c>
      <c r="AU27" s="12">
        <f t="shared" si="160"/>
        <v>11842.1</v>
      </c>
      <c r="AV27" s="12">
        <f t="shared" si="160"/>
        <v>11842.1</v>
      </c>
      <c r="AW27" s="12">
        <f t="shared" si="160"/>
        <v>11853.9</v>
      </c>
      <c r="AX27" s="12">
        <f t="shared" si="160"/>
        <v>11865.7</v>
      </c>
      <c r="AY27" s="12">
        <f t="shared" si="160"/>
        <v>11877.5</v>
      </c>
      <c r="AZ27" s="12">
        <f t="shared" si="160"/>
        <v>11889.3</v>
      </c>
      <c r="BA27" s="12">
        <f t="shared" si="160"/>
        <v>11901.1</v>
      </c>
      <c r="BB27" s="12">
        <f t="shared" si="160"/>
        <v>11901.1</v>
      </c>
      <c r="BC27" s="12">
        <f t="shared" si="160"/>
        <v>11901.1</v>
      </c>
      <c r="BD27" s="12">
        <f t="shared" si="160"/>
        <v>11912.9</v>
      </c>
      <c r="BE27" s="12">
        <f t="shared" si="160"/>
        <v>11924.7</v>
      </c>
      <c r="BF27" s="12">
        <f t="shared" si="160"/>
        <v>11936.5</v>
      </c>
      <c r="BG27" s="12">
        <f t="shared" si="160"/>
        <v>11948.3</v>
      </c>
      <c r="BH27" s="12">
        <f t="shared" si="160"/>
        <v>11960.1</v>
      </c>
      <c r="BI27" s="12">
        <f t="shared" si="160"/>
        <v>11960.1</v>
      </c>
      <c r="BJ27" s="12">
        <f t="shared" si="160"/>
        <v>11960.1</v>
      </c>
      <c r="BK27" s="12">
        <f t="shared" si="160"/>
        <v>11971.9</v>
      </c>
      <c r="BL27" s="12">
        <f t="shared" si="160"/>
        <v>11840.2</v>
      </c>
    </row>
    <row r="28" spans="1:64" x14ac:dyDescent="0.25">
      <c r="A28" s="11" t="s">
        <v>2</v>
      </c>
      <c r="B28" s="12">
        <f t="shared" si="159"/>
        <v>12199.4</v>
      </c>
      <c r="C28" s="12">
        <v>12291.8</v>
      </c>
      <c r="D28" s="12">
        <v>12299</v>
      </c>
      <c r="E28" s="12">
        <v>12299</v>
      </c>
      <c r="F28" s="12">
        <v>12299</v>
      </c>
      <c r="G28" s="12">
        <v>12306.1</v>
      </c>
      <c r="H28" s="12">
        <v>12313.2</v>
      </c>
      <c r="I28" s="12">
        <v>12320.300000000001</v>
      </c>
      <c r="J28" s="12">
        <v>12327.4</v>
      </c>
      <c r="K28" s="12">
        <v>12334.5</v>
      </c>
      <c r="L28" s="12">
        <v>12334.5</v>
      </c>
      <c r="M28" s="12">
        <v>12334.5</v>
      </c>
      <c r="N28" s="12">
        <v>12341.6</v>
      </c>
      <c r="O28" s="12">
        <v>12348.7</v>
      </c>
      <c r="P28" s="12">
        <v>12355.800000000001</v>
      </c>
      <c r="Q28" s="12">
        <v>12362.9</v>
      </c>
      <c r="R28" s="12">
        <v>12370</v>
      </c>
      <c r="S28" s="12">
        <v>12370</v>
      </c>
      <c r="T28" s="12">
        <v>12370</v>
      </c>
      <c r="U28" s="12">
        <v>12377.2</v>
      </c>
      <c r="V28" s="12">
        <v>12384.300000000001</v>
      </c>
      <c r="W28" s="12">
        <v>12391.4</v>
      </c>
      <c r="X28" s="12">
        <v>12398.5</v>
      </c>
      <c r="Y28" s="12">
        <v>12405.6</v>
      </c>
      <c r="Z28" s="12">
        <v>12405.6</v>
      </c>
      <c r="AA28" s="12">
        <v>12405.6</v>
      </c>
      <c r="AB28" s="12">
        <v>12412.7</v>
      </c>
      <c r="AC28" s="12">
        <v>12419.800000000001</v>
      </c>
      <c r="AD28" s="12">
        <v>12426.9</v>
      </c>
      <c r="AE28" s="12">
        <v>12434</v>
      </c>
      <c r="AF28" s="12">
        <v>12441.1</v>
      </c>
      <c r="AG28" s="12">
        <v>12441.1</v>
      </c>
      <c r="AH28" s="12">
        <v>12441.1</v>
      </c>
      <c r="AI28" s="12">
        <f t="shared" ref="R28:BL28" si="161">ROUNDUP(AI19,1)</f>
        <v>12448.2</v>
      </c>
      <c r="AJ28" s="12">
        <f t="shared" si="161"/>
        <v>12455.3</v>
      </c>
      <c r="AK28" s="12">
        <f t="shared" si="161"/>
        <v>12455.3</v>
      </c>
      <c r="AL28" s="12">
        <f t="shared" si="161"/>
        <v>12462.5</v>
      </c>
      <c r="AM28" s="12">
        <f t="shared" si="161"/>
        <v>12469.6</v>
      </c>
      <c r="AN28" s="12">
        <f t="shared" si="161"/>
        <v>12469.6</v>
      </c>
      <c r="AO28" s="12">
        <f t="shared" si="161"/>
        <v>12469.6</v>
      </c>
      <c r="AP28" s="12">
        <f t="shared" si="161"/>
        <v>12476.7</v>
      </c>
      <c r="AQ28" s="12">
        <f t="shared" si="161"/>
        <v>12483.8</v>
      </c>
      <c r="AR28" s="12">
        <f t="shared" si="161"/>
        <v>12490.9</v>
      </c>
      <c r="AS28" s="12">
        <f t="shared" si="161"/>
        <v>12498</v>
      </c>
      <c r="AT28" s="12">
        <f t="shared" si="161"/>
        <v>12505.1</v>
      </c>
      <c r="AU28" s="12">
        <f t="shared" si="161"/>
        <v>12505.1</v>
      </c>
      <c r="AV28" s="12">
        <f t="shared" si="161"/>
        <v>12505.1</v>
      </c>
      <c r="AW28" s="12">
        <f t="shared" si="161"/>
        <v>12512.2</v>
      </c>
      <c r="AX28" s="12">
        <f t="shared" si="161"/>
        <v>12519.3</v>
      </c>
      <c r="AY28" s="12">
        <f t="shared" si="161"/>
        <v>12526.4</v>
      </c>
      <c r="AZ28" s="12">
        <f t="shared" si="161"/>
        <v>12533.5</v>
      </c>
      <c r="BA28" s="12">
        <f t="shared" si="161"/>
        <v>12540.6</v>
      </c>
      <c r="BB28" s="12">
        <f t="shared" si="161"/>
        <v>12540.6</v>
      </c>
      <c r="BC28" s="12">
        <f t="shared" si="161"/>
        <v>12540.6</v>
      </c>
      <c r="BD28" s="12">
        <f t="shared" si="161"/>
        <v>12547.8</v>
      </c>
      <c r="BE28" s="12">
        <f t="shared" si="161"/>
        <v>12554.9</v>
      </c>
      <c r="BF28" s="12">
        <f t="shared" si="161"/>
        <v>12562</v>
      </c>
      <c r="BG28" s="12">
        <f t="shared" si="161"/>
        <v>12569.1</v>
      </c>
      <c r="BH28" s="12">
        <f t="shared" si="161"/>
        <v>12576.2</v>
      </c>
      <c r="BI28" s="12">
        <f t="shared" si="161"/>
        <v>12576.2</v>
      </c>
      <c r="BJ28" s="12">
        <f t="shared" si="161"/>
        <v>12576.2</v>
      </c>
      <c r="BK28" s="12">
        <f t="shared" si="161"/>
        <v>12583.3</v>
      </c>
      <c r="BL28" s="12">
        <f t="shared" si="161"/>
        <v>12512.1</v>
      </c>
    </row>
    <row r="29" spans="1:64" x14ac:dyDescent="0.25">
      <c r="A29" s="11" t="s">
        <v>3</v>
      </c>
      <c r="B29" s="12">
        <f t="shared" si="159"/>
        <v>15947.8</v>
      </c>
      <c r="C29" s="12">
        <v>15971.3</v>
      </c>
      <c r="D29" s="12">
        <v>15973.6</v>
      </c>
      <c r="E29" s="12">
        <v>15973.6</v>
      </c>
      <c r="F29" s="12">
        <v>15973.6</v>
      </c>
      <c r="G29" s="12">
        <v>15975.9</v>
      </c>
      <c r="H29" s="12">
        <v>15978.1</v>
      </c>
      <c r="I29" s="12">
        <v>15980.4</v>
      </c>
      <c r="J29" s="12">
        <v>15982.6</v>
      </c>
      <c r="K29" s="12">
        <v>15984.9</v>
      </c>
      <c r="L29" s="12">
        <v>15984.9</v>
      </c>
      <c r="M29" s="12">
        <v>15984.9</v>
      </c>
      <c r="N29" s="12">
        <v>15987.1</v>
      </c>
      <c r="O29" s="12">
        <v>15989.4</v>
      </c>
      <c r="P29" s="12">
        <v>15991.6</v>
      </c>
      <c r="Q29" s="12">
        <v>15993.9</v>
      </c>
      <c r="R29" s="12">
        <v>15996.1</v>
      </c>
      <c r="S29" s="12">
        <v>15996.1</v>
      </c>
      <c r="T29" s="12">
        <v>15996.1</v>
      </c>
      <c r="U29" s="12">
        <v>15998.4</v>
      </c>
      <c r="V29" s="12">
        <v>16000.6</v>
      </c>
      <c r="W29" s="12">
        <v>16002.9</v>
      </c>
      <c r="X29" s="12">
        <v>16005.1</v>
      </c>
      <c r="Y29" s="12">
        <v>16007.4</v>
      </c>
      <c r="Z29" s="12">
        <v>16007.4</v>
      </c>
      <c r="AA29" s="12">
        <v>16007.4</v>
      </c>
      <c r="AB29" s="12">
        <v>16009.7</v>
      </c>
      <c r="AC29" s="12">
        <v>16011.9</v>
      </c>
      <c r="AD29" s="12">
        <v>16014.2</v>
      </c>
      <c r="AE29" s="12">
        <v>16016.4</v>
      </c>
      <c r="AF29" s="12">
        <v>16018.7</v>
      </c>
      <c r="AG29" s="12">
        <v>16018.7</v>
      </c>
      <c r="AH29" s="12">
        <v>16018.7</v>
      </c>
      <c r="AI29" s="12">
        <f t="shared" ref="R29:BL29" si="162">ROUNDUP(AI20,1)</f>
        <v>16020.9</v>
      </c>
      <c r="AJ29" s="12">
        <f t="shared" si="162"/>
        <v>16023.2</v>
      </c>
      <c r="AK29" s="12">
        <f t="shared" si="162"/>
        <v>16023.2</v>
      </c>
      <c r="AL29" s="12">
        <f t="shared" si="162"/>
        <v>16025.4</v>
      </c>
      <c r="AM29" s="12">
        <f t="shared" si="162"/>
        <v>16027.7</v>
      </c>
      <c r="AN29" s="12">
        <f t="shared" si="162"/>
        <v>16027.7</v>
      </c>
      <c r="AO29" s="12">
        <f t="shared" si="162"/>
        <v>16027.7</v>
      </c>
      <c r="AP29" s="12">
        <f t="shared" si="162"/>
        <v>16029.9</v>
      </c>
      <c r="AQ29" s="12">
        <f t="shared" si="162"/>
        <v>16032.2</v>
      </c>
      <c r="AR29" s="12">
        <f t="shared" si="162"/>
        <v>16034.4</v>
      </c>
      <c r="AS29" s="12">
        <f t="shared" si="162"/>
        <v>16036.7</v>
      </c>
      <c r="AT29" s="12">
        <f t="shared" si="162"/>
        <v>16038.9</v>
      </c>
      <c r="AU29" s="12">
        <f t="shared" si="162"/>
        <v>16038.9</v>
      </c>
      <c r="AV29" s="12">
        <f t="shared" si="162"/>
        <v>16038.9</v>
      </c>
      <c r="AW29" s="12">
        <f t="shared" si="162"/>
        <v>16041.2</v>
      </c>
      <c r="AX29" s="12">
        <f t="shared" si="162"/>
        <v>16043.5</v>
      </c>
      <c r="AY29" s="12">
        <f t="shared" si="162"/>
        <v>16045.7</v>
      </c>
      <c r="AZ29" s="12">
        <f t="shared" si="162"/>
        <v>16048</v>
      </c>
      <c r="BA29" s="12">
        <f t="shared" si="162"/>
        <v>16050.2</v>
      </c>
      <c r="BB29" s="12">
        <f t="shared" si="162"/>
        <v>16050.2</v>
      </c>
      <c r="BC29" s="12">
        <f t="shared" si="162"/>
        <v>16050.2</v>
      </c>
      <c r="BD29" s="12">
        <f t="shared" si="162"/>
        <v>16052.5</v>
      </c>
      <c r="BE29" s="12">
        <f t="shared" si="162"/>
        <v>16054.7</v>
      </c>
      <c r="BF29" s="12">
        <f t="shared" si="162"/>
        <v>16057</v>
      </c>
      <c r="BG29" s="12">
        <f t="shared" si="162"/>
        <v>16059.2</v>
      </c>
      <c r="BH29" s="12">
        <f t="shared" si="162"/>
        <v>16061.5</v>
      </c>
      <c r="BI29" s="12">
        <f t="shared" si="162"/>
        <v>16061.5</v>
      </c>
      <c r="BJ29" s="12">
        <f t="shared" si="162"/>
        <v>16061.5</v>
      </c>
      <c r="BK29" s="12">
        <f t="shared" si="162"/>
        <v>16063.7</v>
      </c>
      <c r="BL29" s="12">
        <f t="shared" si="162"/>
        <v>16046.9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1월 2월</vt:lpstr>
      <vt:lpstr>3월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JiYoung Park</dc:creator>
  <cp:lastModifiedBy>JiYoung Park</cp:lastModifiedBy>
  <dcterms:created xsi:type="dcterms:W3CDTF">2025-02-27T01:19:33Z</dcterms:created>
  <dcterms:modified xsi:type="dcterms:W3CDTF">2026-06-29T01:18:37Z</dcterms:modified>
</cp:coreProperties>
</file>